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sheets/sheet3.xml" ContentType="application/vnd.openxmlformats-officedocument.spreadsheetml.workshee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Tables/pivotTable1.xml" ContentType="application/vnd.openxmlformats-officedocument.spreadsheetml.pivotTable+xml"/>
  <Override PartName="/xl/worksheets/sheet7.xml" ContentType="application/vnd.openxmlformats-officedocument.spreadsheetml.worksheet+xml"/>
  <Override PartName="/xl/pivotTables/pivotTable2.xml" ContentType="application/vnd.openxmlformats-officedocument.spreadsheetml.pivot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shiva"/>
  <workbookPr/>
  <bookViews>
    <workbookView activeTab="0" xWindow="240" yWindow="60" windowWidth="0" windowHeight="0" tabRatio="500"/>
  </bookViews>
  <sheets>
    <sheet name="Final_Summary" sheetId="1" r:id="rId4"/>
    <sheet name="Dashboard_Draft" sheetId="2" r:id="rId5"/>
    <sheet name="Analysis" sheetId="3" r:id="rId6"/>
    <sheet name="IRDAI_ICR_Data" sheetId="4" r:id="rId7"/>
    <sheet name="ICICI_Company_Case" sheetId="5" r:id="rId8"/>
    <sheet name="Pivot_Auto_Segment_Analysis" sheetId="6" r:id="rId9"/>
    <sheet name="Pivot_Insurer_Analysis" sheetId="7" r:id="rId10"/>
    <sheet name="Cleaned_Auto" sheetId="8" r:id="rId11"/>
    <sheet name="Raw_GI_Council" sheetId="9" r:id="rId12"/>
    <sheet name="Raw_IRDAI" sheetId="10" r:id="rId13"/>
    <sheet name="Raw_ICICI_NL4" sheetId="11" r:id="rId14"/>
    <sheet name="Raw_ICICI_NL5" sheetId="12" r:id="rId15"/>
    <sheet name="Raw_ICICI_NL6" sheetId="13" r:id="rId16"/>
    <sheet name="Raw_ICICI_NL7" sheetId="14" r:id="rId17"/>
    <sheet name="Source_Log" sheetId="15" r:id="rId18"/>
  </sheets>
  <definedNames>
    <definedName name="_xlnm.Print_Area" localSheetId="1">Dashboard_Draft!$A$1:$N$56</definedName>
    <definedName name="_xlnm._FilterDatabase" localSheetId="14" hidden="1">Source_Log!$A$1:$I$7</definedName>
  </definedNames>
  <calcPr/>
  <pivotCaches>
    <pivotCache cacheId="1" r:id="rId19"/>
    <pivotCache cacheId="2" r:id="rId20"/>
  </pivotCaches>
  <extLst>
    <ext uri="smNativeData">
      <pm:revision xmlns:pm="smNativeData" day="1780841053" val="1234" rev="124" revOS="4" revMin="124" revMax="0"/>
      <pm:docPrefs xmlns:pm="smNativeData" id="1780841053" fixedDigits="0" showNotice="1" showFrameBounds="1" autoChart="1" recalcOnPrint="1" recalcOnCopy="1" compatTextArt="1" tab="567" useDefinedPrintRange="1" printArea="selection"/>
      <pm:compatibility xmlns:pm="smNativeData" id="1780841053" overlapCells="1"/>
      <pm:defCurrency xmlns:pm="smNativeData" id="1780841053"/>
      <pm:pdfExportOpt xmlns:pm="smNativeData" pagesRangeIndex="2" pagesSelectionIndex="0" customRangeInfo="1-1" qualityIndex="3" embedFonts="2" useJpegs="0" useSubsetFonts="1" useAlpha="1" relativeLinks="0" taggedPdf="0" pane="0" zoom="0" zoomScale="100" layout="1" includeDoc="0" viewFlags="0" openViewer="1" jpegQuality="90" flags="252" exportWsNames="1" dpi="2" resample="1" name="C:\Users\shiva\OneDrive\Desktop\Project_1_Dashboard_Draft_V1_1..pdf"/>
      <pm:sortOptions xmlns:pm="smNativeData" id="1780841053">
        <pm:column colId="2" sortType="descending"/>
      </pm:sortOptions>
    </ext>
  </extLst>
</workbook>
</file>

<file path=xl/sharedStrings.xml><?xml version="1.0" encoding="utf-8"?>
<sst xmlns="http://schemas.openxmlformats.org/spreadsheetml/2006/main" count="594" uniqueCount="347">
  <si>
    <t>Project 1: India General Insurance Claims &amp; Pricing Performance Dashboard</t>
  </si>
  <si>
    <t>1. Project Objective &amp; Business Problem</t>
  </si>
  <si>
    <r>
      <t xml:space="preserve">This project analyses premium growth, claim pressure and pricing adequacy signals across Indian general insurance segments using public data. </t>
    </r>
    <r>
      <rPr>
        <rFont val="Arial"/>
        <charset val="0"/>
        <family val="2"/>
        <sz val="10"/>
        <b/>
        <i val="0"/>
      </rPr>
      <t xml:space="preserve">The main business problem </t>
    </r>
    <r>
      <rPr>
        <rFont val="Arial"/>
        <charset val="0"/>
        <family val="2"/>
        <sz val="10"/>
        <b val="0"/>
        <i val="0"/>
      </rPr>
      <t>is that premium growth alone does not prove profitability. A segment may grow strongly but still face high claims, commission load, expense load or pricing pressure.</t>
    </r>
  </si>
  <si>
    <t>2. Data Sources Used</t>
  </si>
  <si>
    <t>1. GI Council Segment-wise GDPI data — used for segment premium growth and insurer ranking.                                   2. IRDAI Annual Report 2024-25 Table I.14 — used for incurred claims ratio and claim-pressure interpretation.                                                                                                                                     3. ICICI Lombard NL-4, NL-5, NL-6 and NL-7 public disclosures — used for premium, claims, commission and operating expense analysis.</t>
  </si>
  <si>
    <t>3. Methodology</t>
  </si>
  <si>
    <t>The workflow followed a professional analysis chain: source collection → raw extraction → cleaned data → pivot analysis → segment premium growth analysis → insurer ranking → IRDAI ICR claim-pressure layer → ICICI Lombard pricing mini-case → Excel dashboard with KPI cards, charts, executive insights and source note.</t>
  </si>
  <si>
    <t>4. Key Findings</t>
  </si>
  <si>
    <t>1. Selected segment premium increased from ₹29,143.19 Cr in Apr-25 to ₹31,654.17 Cr in Apr-26, showing 8.62% growth.                                                                                                                                                                                            2. Health is the largest selected segment and grew 21.61%, while Marine grew fastest at 33.63% from a smaller base.                                                                                                                             3. Fire declined by 30.92%, so it should not be judged only by premium fall; claim pressure and portfolio mix must also be checked.                                                                                                                                                                                                 4. Motor ICR is 85.51% and Health ICR is 85.34%, showing high claim-pressure signals.                                                      5. ICICI Lombard’s disclosed company-level analytical combined load indicator is 104.98%, suggesting pricing-load pressure before full P&amp;L and investment income analysis.</t>
  </si>
  <si>
    <t>5. Recommendations</t>
  </si>
  <si>
    <t>1. Do not judge general insurance performance only by premium growth; premium movement must be connected with ICR, claims, commission load and expense load.                                                                                                                2. Motor and Health should be monitored closely because both show high claim-pressure signals despite being important business segments.                                                                                                                                                                         3. Insurer premium ranking should be treated as a market-volume indicator, not a direct profitability ranking.</t>
  </si>
  <si>
    <t>6. Limitations &amp; Correct Interpretation</t>
  </si>
  <si>
    <r>
      <t xml:space="preserve">This project uses publicly available data only. </t>
    </r>
    <r>
      <rPr>
        <rFont val="Arial"/>
        <charset val="0"/>
        <family val="2"/>
        <sz val="11"/>
        <b/>
        <i val="0"/>
      </rPr>
      <t>ICICI Combined Load</t>
    </r>
    <r>
      <rPr>
        <rFont val="Arial"/>
        <charset val="0"/>
        <family val="2"/>
        <sz val="11"/>
        <b val="0"/>
        <i val="0"/>
      </rPr>
      <t xml:space="preserve"> is an analytical pricing-pressure indicator, not the formal combined ratio. Selected ICICI segment rows do not add to Grand Total because Grand Total includes additional business lines. Final profitability cannot be concluded without full P&amp;L, investment income, reserves and underwriting result analysis.</t>
    </r>
  </si>
  <si>
    <t>7. Final Deliverables</t>
  </si>
  <si>
    <r>
      <rPr>
        <rFont val="Arial"/>
        <charset val="0"/>
        <family val="2"/>
        <sz val="11"/>
        <b/>
        <i val="0"/>
      </rPr>
      <t>This workbook includes the complete Project 1 workflow</t>
    </r>
    <r>
      <rPr>
        <rFont val="Arial"/>
        <charset val="0"/>
        <family val="2"/>
        <sz val="11"/>
        <b val="0"/>
        <i val="0"/>
      </rPr>
      <t>: source log, raw data extraction, cleaned data, pivot analysis, claim-pressure analysis, ICICI Lombard pricing mini-case, dashboard and executive summary. The dashboard can be used as the main presentation output, while the backend sheets support auditability and interview explanation.</t>
    </r>
  </si>
  <si>
    <t>India General Insurance Claims &amp; Pricing Performance Dashboard</t>
  </si>
  <si>
    <t>Premium growth, claim pressure and pricing adequacy view using public insurance data</t>
  </si>
  <si>
    <t>Sources: GI Council Segment-wise GDPI, IRDAI Annual Report 2024-25, ICICI Lombard Public Disclosures</t>
  </si>
  <si>
    <t>Selected Premium Apr-25 (₹ Cr)</t>
  </si>
  <si>
    <t>Selected Premium Apr-26 (₹ Cr)</t>
  </si>
  <si>
    <t>Selected Segment Growth</t>
  </si>
  <si>
    <t>Top Insurer</t>
  </si>
  <si>
    <t>Highest ICR Segment</t>
  </si>
  <si>
    <t>ICICI Pricing Pressure</t>
  </si>
  <si>
    <t>Motor: 85.51%</t>
  </si>
  <si>
    <t>Grand Total: 104.98%</t>
  </si>
  <si>
    <t>Base period premium</t>
  </si>
  <si>
    <t>Latest period premium</t>
  </si>
  <si>
    <t>Growth across selected segments</t>
  </si>
  <si>
    <t>Apr-26 Premium: ₹6,084.98 Cr</t>
  </si>
  <si>
    <t>IRDAI claim pressure</t>
  </si>
  <si>
    <t>Analytical load indicator</t>
  </si>
  <si>
    <t>Claim Pressure &amp; Pricing Caution</t>
  </si>
  <si>
    <t>Motor ICR</t>
  </si>
  <si>
    <t>85.51% — High claim pressure</t>
  </si>
  <si>
    <t>Health ICR</t>
  </si>
  <si>
    <t>85.34% — High claim pressure</t>
  </si>
  <si>
    <t>ICICI Combined Load</t>
  </si>
  <si>
    <t>104.98% — Pricing pressure indicator</t>
  </si>
  <si>
    <t>Premium growth should not be read as profitability. Claims, ICR, commission load and expense load must be checked before judging pricing adequacy.</t>
  </si>
  <si>
    <t>Executive Insights &amp; Recommendations</t>
  </si>
  <si>
    <t>Insight 1 — Premium growth is not profitability</t>
  </si>
  <si>
    <t>Insight 2 — Motor and Health need claim-pressure monitoring</t>
  </si>
  <si>
    <t>Insight 3 — ICICI case shows pricing-load pressure</t>
  </si>
  <si>
    <t>Selected segment premium grew 8.62%, but premium growth only shows business volume. Claims pressure, ICR, commission load and expense load must be checked before judging pricing adequacy.</t>
  </si>
  <si>
    <t>Motor ICR is 85.51% and Health ICR is 85.34%, placing both in high claim-pressure zones. Growth in these segments should be interpreted with underwriting and claims-control discipline.</t>
  </si>
  <si>
    <t>ICICI Lombard’s disclosed company-level combined load indicator is 104.98%. This is not the formal combined ratio, but it signals pricing pressure before considering full P&amp;L and investment income.</t>
  </si>
  <si>
    <r>
      <rPr>
        <rFont val="Arial"/>
        <charset val="0"/>
        <family val="2"/>
        <sz val="14"/>
        <b/>
        <i val="0"/>
      </rPr>
      <t xml:space="preserve">Sources: </t>
    </r>
    <r>
      <rPr>
        <rFont val="Arial"/>
        <charset val="0"/>
        <family val="2"/>
        <sz val="12"/>
        <b/>
        <i val="0"/>
      </rPr>
      <t>GI Council Segment-wise GDPI data, IRDAI Annual Report 2024-25 Table I.14, and ICICI Lombard NL-4 to NL-7 public disclosures. Note: ICICI Combined Load is an analytical indicator, not the formal combined ratio. Selected ICICI segment rows do not add to Grand Total because Grand Total includes additional business lines.</t>
    </r>
  </si>
  <si>
    <t>Segment &amp; Insurer Premium Growth Analysis</t>
  </si>
  <si>
    <t>Source: GI Council Segment-wise GDPI data; values used for Apr-25 vs Apr-26 premium growth analysis</t>
  </si>
  <si>
    <t>Segment Premium Growth Summary</t>
  </si>
  <si>
    <t>Segment growth table</t>
  </si>
  <si>
    <t>Segment</t>
  </si>
  <si>
    <t>Change</t>
  </si>
  <si>
    <t>Growth %</t>
  </si>
  <si>
    <t>Fire</t>
  </si>
  <si>
    <t>Health</t>
  </si>
  <si>
    <t>Marine</t>
  </si>
  <si>
    <t>Motor</t>
  </si>
  <si>
    <t>Metric</t>
  </si>
  <si>
    <t>Value</t>
  </si>
  <si>
    <t>Total Apr-25 Premium</t>
  </si>
  <si>
    <t>Total Apr-26 Premium</t>
  </si>
  <si>
    <t>Total Change</t>
  </si>
  <si>
    <t>Total Growth %</t>
  </si>
  <si>
    <t>Health is the biggest segment and also grew 21.61%, showing strong premium momentum. Motor_Total also increased by 15.63%. Fire declined by 30.92%, so Fire needs deeper investigation before giving any business conclusion. Marine_Total grew fastest at 33.63%, but its base is much smaller compared to Health and Motor.</t>
  </si>
  <si>
    <t>In the expanded GI Council data sample, selected segment premium increased by 8.62% from April-25 to April-26. Health is the largest contributor and grew 21.61%, while Motor also grew 15.63%. Marine grew fastest at 33.63%, but from a smaller base. Fire declined sharply by 30.92%, which requires deeper investigation before making a business conclusion.</t>
  </si>
  <si>
    <t>Insurer Ranking by Apr-26 Premium</t>
  </si>
  <si>
    <t>Insurers</t>
  </si>
  <si>
    <t>Rank by April-26</t>
  </si>
  <si>
    <t>Top 10 Insurers by April-26 Gross Direct Premium</t>
  </si>
  <si>
    <t>The New India Assurance Co Ltd</t>
  </si>
  <si>
    <t>Rank</t>
  </si>
  <si>
    <t>Insurer</t>
  </si>
  <si>
    <t>April-25 Premium</t>
  </si>
  <si>
    <t>April-26 Premium</t>
  </si>
  <si>
    <t>ICICI Lombard General Insurance Co Ltd</t>
  </si>
  <si>
    <t>Tata AIG General Insurance Co Ltd</t>
  </si>
  <si>
    <t>The Oriental Insurance Co Ltd</t>
  </si>
  <si>
    <t xml:space="preserve">Bajaj General Insurance Limited </t>
  </si>
  <si>
    <t>United India Insurance Co Ltd</t>
  </si>
  <si>
    <t>HDFC Ergo General Insurance Co Ltd</t>
  </si>
  <si>
    <t>National Insurance Co Ltd</t>
  </si>
  <si>
    <t>IndusInd General Insurance Company Limited</t>
  </si>
  <si>
    <t>SBI General Insurance Co Ltd</t>
  </si>
  <si>
    <t>Star Health &amp; Allied Insurance Co Ltd</t>
  </si>
  <si>
    <t>Care Health Insurance Ltd</t>
  </si>
  <si>
    <t>Insight: New India Assurance leads by April-26 premium volume, followed by ICICI Lombard and Tata AIG. Tata AIG shows the strongest growth among the top 10 insurers at 38.10%, while most public-sector insurers show stable but slower growth. Premium volume indicates market size, not profitability; claims ratio, expense ratio and combined ratio must be checked separately.</t>
  </si>
  <si>
    <t>Go Digit General Insurance Ltd</t>
  </si>
  <si>
    <t>IFFCO-Tokio General Insurance Co Ltd</t>
  </si>
  <si>
    <t>Cholamandalam MS General Insurance Co Ltd</t>
  </si>
  <si>
    <t>Aditya Birla Health Insurance Co Ltd</t>
  </si>
  <si>
    <t>Universal Sompo General Insurance Co Ltd</t>
  </si>
  <si>
    <t>Niva bupa health insurance company limited</t>
  </si>
  <si>
    <t>Chart Source: Top 10 Insurers</t>
  </si>
  <si>
    <t>Royal Sundaram General Insurance Co Ltd</t>
  </si>
  <si>
    <t>Generali Central Insurance Company Limited</t>
  </si>
  <si>
    <t>SBI General</t>
  </si>
  <si>
    <t>Magma General Insurance Limited</t>
  </si>
  <si>
    <t>IndusInd</t>
  </si>
  <si>
    <t>Shriram General Insurance Co Ltd</t>
  </si>
  <si>
    <t>National</t>
  </si>
  <si>
    <t>Liberty  General Insurance Co. Ltd</t>
  </si>
  <si>
    <t>HDFC Ergo</t>
  </si>
  <si>
    <t>Acko General Insurance Ltd</t>
  </si>
  <si>
    <t>United India</t>
  </si>
  <si>
    <t>ManipalCigna Health Insurance Co Ltd</t>
  </si>
  <si>
    <t>Bajaj</t>
  </si>
  <si>
    <t>Zurich Kotak Mahindra General Insurance Co Ltd</t>
  </si>
  <si>
    <t>Oriental</t>
  </si>
  <si>
    <t>Zuno General Insurance Co Ltd</t>
  </si>
  <si>
    <t>Tata AIG</t>
  </si>
  <si>
    <t>ECGC Ltd</t>
  </si>
  <si>
    <t>ICICI Lombard</t>
  </si>
  <si>
    <t>Narayana Health Insurance Ltd</t>
  </si>
  <si>
    <t>New India</t>
  </si>
  <si>
    <t>Agriculture Insurance Co Of India Ltd</t>
  </si>
  <si>
    <t>Navi General Insurance Co. Ltd</t>
  </si>
  <si>
    <t>Galaxy Health Insurance Company Ltd</t>
  </si>
  <si>
    <t>Raheja QBE General Insurance Co Ltd</t>
  </si>
  <si>
    <t>Kshema General insurance</t>
  </si>
  <si>
    <t>The New India Assurance Co Ltd ranks first by April-26 gross direct premium among the selected insurers, followed by ICICI Lombard, Tata AIG, Oriental Insurance and Bajaj General Insurance. Among large insurers, Tata AIG and Bajaj show strong growth, while some insurers such as Go Digit, Generali Central, Zurich Kotak and Kshema show decline. Very high growth percentages in smaller insurers should be interpreted carefully because they come from a low base.</t>
  </si>
  <si>
    <t>Highest premium shows market size / business volume, not profitability. Profitability must be checked later using claims, ICR, expense ratio and combined ratio.</t>
  </si>
  <si>
    <t>Segment Growth Chart &amp; Dashboard-Ready Insights</t>
  </si>
  <si>
    <t>Segment Growth Data for Chart</t>
  </si>
  <si>
    <t>Insight: Marine shows the highest growth rate at 33.63%, followed by Health at 21.61% and Motor at 15.63%. Fire declined by 30.92%, making it the only selected segment with negative premium movement. Marine growth should be interpreted carefully because it has a smaller premium base than Health and Motor.</t>
  </si>
  <si>
    <t>Dashboard-Ready Business Insights</t>
  </si>
  <si>
    <t>1. Segment Growth Insight</t>
  </si>
  <si>
    <t>Selected segment premium increased by 8.62% from April-25 to April-26. Health is the largest selected segment and grew 21.61%, while Motor grew 15.63%. Marine grew fastest at 33.63%, but from a smaller base. Fire declined by 30.92%, which requires deeper investigation before making a business conclusion.</t>
  </si>
  <si>
    <t>2. Insurer Concentration Insight</t>
  </si>
  <si>
    <t>The New India Assurance Co Ltd ranks first by April-26 premium volume, followed by ICICI Lombard and Tata AIG. Among the top 10 insurers, Tata AIG shows the strongest growth at 38.10%, while several public-sector insurers show stable but slower growth. This indicates that premium leadership and growth momentum may not always belong to the same insurer.</t>
  </si>
  <si>
    <t>3. Growth vs Profitability Caution</t>
  </si>
  <si>
    <t>Premium growth indicates business volume, not profitability. An insurer may grow premium but still face underwriting pressure if claims and expenses rise faster. Therefore, claim ratio, incurred claim ratio, expense ratio and combined ratio must be checked before judging pricing adequacy or profitability.</t>
  </si>
  <si>
    <t>Segment-wise Incurred Claims Ratio Analysis</t>
  </si>
  <si>
    <t>Claim pressure view based on IRDAI Annual Report 2024-25</t>
  </si>
  <si>
    <t>Purpose</t>
  </si>
  <si>
    <t>Connect premium growth with incurred claims pressure</t>
  </si>
  <si>
    <t>Source</t>
  </si>
  <si>
    <t>IRDAI Annual Report 2024-25</t>
  </si>
  <si>
    <t>Source Table</t>
  </si>
  <si>
    <t>Table I.14: Segment-wise Incurred Claims Ratio</t>
  </si>
  <si>
    <t>ICR = Net incurred claims / Net earned premium</t>
  </si>
  <si>
    <t>Project Logic</t>
  </si>
  <si>
    <t>Premium growth shows volume; ICR shows claim pressure</t>
  </si>
  <si>
    <t>FY2023_24_ICR</t>
  </si>
  <si>
    <t>FY2024_25_ICR</t>
  </si>
  <si>
    <t>Change_pp</t>
  </si>
  <si>
    <t>Direction</t>
  </si>
  <si>
    <t>Pressure_Band</t>
  </si>
  <si>
    <t>Business_Interpretation</t>
  </si>
  <si>
    <t>Dashboard_Use</t>
  </si>
  <si>
    <t>Fire claim pressure improved. Even though Fire premium declined earlier, lower ICR means we should not call the segment weak without checking pricing and portfolio mix.</t>
  </si>
  <si>
    <t>IRDAI Annual Report 2024-25 Table I.14</t>
  </si>
  <si>
    <t>Example of lower premium but improved claim pressure</t>
  </si>
  <si>
    <t>Marine ICR increased slightly, but remains controlled. Marine premium growth is strong, but from a smaller base.</t>
  </si>
  <si>
    <t>Controlled growth segment</t>
  </si>
  <si>
    <t>Motor is the main warning signal. Premium growth is positive, but ICR increased and moved into the high-pressure band.</t>
  </si>
  <si>
    <t>Key claim-pressure warning</t>
  </si>
  <si>
    <t>Health remains high-pressure. ICR improved slightly, but claims still consume a large share of premium.</t>
  </si>
  <si>
    <t>Large segment with structural claim pressure</t>
  </si>
  <si>
    <t>Others improved and is currently more controlled than Motor and Health.</t>
  </si>
  <si>
    <t>Low-pressure comparison segment</t>
  </si>
  <si>
    <t>Industry Total</t>
  </si>
  <si>
    <t>Industry ICR is broadly stable but still elevated above 80%, so claim pressure remains important even when premium grows.</t>
  </si>
  <si>
    <t>Industry benchmark</t>
  </si>
  <si>
    <t>Premium Growth vs Claim Pressure</t>
  </si>
  <si>
    <t>Apr_25_Premium</t>
  </si>
  <si>
    <t>Apr_26_Premium</t>
  </si>
  <si>
    <t>Premium_Growth</t>
  </si>
  <si>
    <t>Claim_Pressure</t>
  </si>
  <si>
    <t>Combined_View</t>
  </si>
  <si>
    <t>Dashboard_Message</t>
  </si>
  <si>
    <t>Analyst_Note</t>
  </si>
  <si>
    <t>Fire premium declined, but ICR improved. This suggests the segment should not be judged only by premium movement.</t>
  </si>
  <si>
    <t>Decline with improved claim pressure</t>
  </si>
  <si>
    <t>Check portfolio mix and pricing before calling Fire weak.</t>
  </si>
  <si>
    <t>Health is the largest selected segment and grew strongly, but ICR remains high.</t>
  </si>
  <si>
    <t>Large growth with high claim pressure</t>
  </si>
  <si>
    <t>Strong growth must be checked against medical inflation and claim cost.</t>
  </si>
  <si>
    <t>Marine grew fastest, and ICR remains controlled, but the base is much smaller than Health and Motor.</t>
  </si>
  <si>
    <t>Fast growth from small base</t>
  </si>
  <si>
    <t>Do not overstate Marine because premium base is small.</t>
  </si>
  <si>
    <t>Motor premium grew, but ICR moved into the high-pressure band. This is the clearest pricing-pressure warning.</t>
  </si>
  <si>
    <t>Growth with high claim-pressure warning</t>
  </si>
  <si>
    <t>Motor needs pricing, underwriting and claims-control attention.</t>
  </si>
  <si>
    <t>Key Claim-Pressure Insights</t>
  </si>
  <si>
    <t>Insight 1 — Growth is not profitability</t>
  </si>
  <si>
    <t>Insight 2 — Motor is the key warning</t>
  </si>
  <si>
    <t>Insight 3 — Health is large but pressured</t>
  </si>
  <si>
    <t>Selected segment premium grew by 8.62%, but premium growth only shows business volume. To judge pricing adequacy, we must check whether claims are consuming too much of earned premium.</t>
  </si>
  <si>
    <t>Motor premium grew 15.63%, but FY2024-25 Motor ICR is 85.51%. This means Motor growth must be read with caution because claim pressure is high and worsening.</t>
  </si>
  <si>
    <t>Health is the largest selected segment and grew 21.61%, but FY2024-25 Health ICR remains high at 85.34%. This supports a pricing adequacy and claims-management story, not only a growth story.</t>
  </si>
  <si>
    <t>ICICI Lombard Company-Level Pricing Case</t>
  </si>
  <si>
    <t>Source: ICICI Lombard NL-4, NL-5, NL-6 and NL-7 Periodic Disclosures; values in ₹ lakhs</t>
  </si>
  <si>
    <t>Net Earned Premium</t>
  </si>
  <si>
    <t>Net Incurred Claims</t>
  </si>
  <si>
    <t>Claim Ratio</t>
  </si>
  <si>
    <t>Net Commission</t>
  </si>
  <si>
    <t>Commission Load</t>
  </si>
  <si>
    <t>Operating Expenses</t>
  </si>
  <si>
    <t>Expense Load</t>
  </si>
  <si>
    <t>Combined Load</t>
  </si>
  <si>
    <t>Pricing Pressure Band</t>
  </si>
  <si>
    <t>Business Interpretation</t>
  </si>
  <si>
    <t>Fire has improved claim load but should be interpreted with reinsurance and portfolio mix because net commission is negative.</t>
  </si>
  <si>
    <t>Total Marine</t>
  </si>
  <si>
    <t>Marine has moderate claim pressure and should be treated as smaller-base business, not the main company driver.</t>
  </si>
  <si>
    <t>Total Motor</t>
  </si>
  <si>
    <t>Motor is the biggest pricing-pressure warning because claims plus acquisition/expense load consume a large share of earned premium.</t>
  </si>
  <si>
    <t>Total Health</t>
  </si>
  <si>
    <t>Health remains important because premium scale is large and claim/expense pressure needs monitoring.</t>
  </si>
  <si>
    <t>Grand Total</t>
  </si>
  <si>
    <t>Company-level disclosed total gives the overall pricing pressure view, not the sum of selected rows only.</t>
  </si>
  <si>
    <t>Note: Combined Load = Claim Ratio + Commission Load + Expense Load. It is an analytical pricing-pressure indicator, not the formal combined ratio. Fire has lower combined load partly due to negative net commission. Grand Total is the disclosed company-level figure, not the sum of only selected rows.</t>
  </si>
  <si>
    <t>ICICI Lombard Pricing Case Insights</t>
  </si>
  <si>
    <t>Insight 1 — Marine shows highest pressure</t>
  </si>
  <si>
    <t>Insight 2 — Motor remains the key business warning</t>
  </si>
  <si>
    <t>Insight 3 — Company-level pressure is above 100%</t>
  </si>
  <si>
    <t>Total Marine has the highest combined load at 120.18%. Even though Marine is a smaller-base segment, claims plus commission and expenses exceed earned premium, so it should be treated as a high-pressure segment in this case study.</t>
  </si>
  <si>
    <t>Total Motor has a combined load of 107.78%. Motor is a large business line, so even moderate-looking claim ratio becomes important when commission and operating expense load are added. This supports a pricing and claims-control warning.</t>
  </si>
  <si>
    <t>Grand Total combined load is 104.98%, meaning claims, net commission and operating expenses together exceed net earned premium. This does not equal final profitability, but it shows pricing adequacy pressure before investment income and other items.</t>
  </si>
  <si>
    <t>Sum of Premium_Amount</t>
  </si>
  <si>
    <t>Column labels</t>
  </si>
  <si>
    <t>Row labels</t>
  </si>
  <si>
    <t>April-25</t>
  </si>
  <si>
    <t>April-26</t>
  </si>
  <si>
    <t>Grand total</t>
  </si>
  <si>
    <t>Marine_Total</t>
  </si>
  <si>
    <t>Motor_Total</t>
  </si>
  <si>
    <t>Grand_Total</t>
  </si>
  <si>
    <t>Period</t>
  </si>
  <si>
    <t>Premium_Amount</t>
  </si>
  <si>
    <t>Insurer_Raw</t>
  </si>
  <si>
    <t>Previous Year</t>
  </si>
  <si>
    <t>Raw IRDAI Annual Report Extract</t>
  </si>
  <si>
    <t>Table I.14: Segment-wise Incurred Claims Ratio of General, Health and Specialised Insurers</t>
  </si>
  <si>
    <t>Public_2023_24</t>
  </si>
  <si>
    <t>Private_2023_24</t>
  </si>
  <si>
    <t>Standalone_Health_2023_24</t>
  </si>
  <si>
    <t>Specialised_2023_24</t>
  </si>
  <si>
    <t>Total_2023_24</t>
  </si>
  <si>
    <t>Public_2024_25</t>
  </si>
  <si>
    <t>Private_2024_25</t>
  </si>
  <si>
    <t>Standalone_Health_2024_25</t>
  </si>
  <si>
    <t>Specialised_2024_25</t>
  </si>
  <si>
    <t>Total_2024_25</t>
  </si>
  <si>
    <t>NA</t>
  </si>
  <si>
    <t>Others</t>
  </si>
  <si>
    <t>Total</t>
  </si>
  <si>
    <t>Raw ICICI Lombard NL-4 Premium Extract</t>
  </si>
  <si>
    <t>Source: ICICI Lombard Form NL-4 Premium Schedule; values in ₹ lakhs</t>
  </si>
  <si>
    <t>FY2024_25_Gross_Direct_Premium</t>
  </si>
  <si>
    <t>FY2025_26_Gross_Direct_Premium</t>
  </si>
  <si>
    <t>FY2024_25_Net_Earned_Premium</t>
  </si>
  <si>
    <t>FY2025_26_Net_Earned_Premium</t>
  </si>
  <si>
    <t>Metric_Source</t>
  </si>
  <si>
    <t>Project_Use</t>
  </si>
  <si>
    <t>ICICI Lombard NL-4 Premium Schedule</t>
  </si>
  <si>
    <t>Premium base and pricing volume check</t>
  </si>
  <si>
    <t>Marine premium and earned premium base</t>
  </si>
  <si>
    <t>Motor pricing and claim-ratio denominator</t>
  </si>
  <si>
    <t>Health pricing and claim-ratio denominator</t>
  </si>
  <si>
    <t>Company-level disclosed premium base; not the sum of only selected rows</t>
  </si>
  <si>
    <t>Note: Selected business lines do not add up to Grand Total because ICICI Lombard’s Grand Total includes the full miscellaneous block, including Motor, Health, Personal Accident, Travel, Workmen’s Compensation, Liability, Engineering, Aviation, Crop/Weather, Credit and other miscellaneous segments. Grand Total is retained as the company-level disclosed total.</t>
  </si>
  <si>
    <t>Raw ICICI Lombard NL-5 Claims Extract</t>
  </si>
  <si>
    <t>Source: ICICI Lombard Form NL-5 Claims Schedule; values in ₹ lakhs</t>
  </si>
  <si>
    <t>FY2024_25_Net_Incurred_Claims</t>
  </si>
  <si>
    <t>FY2025_26_Net_Incurred_Claims</t>
  </si>
  <si>
    <t>ICICI Lombard NL-5 Claims Schedule</t>
  </si>
  <si>
    <t>Fire claim-ratio numerator</t>
  </si>
  <si>
    <t>Marine claim-ratio numerator</t>
  </si>
  <si>
    <t>Motor claim-ratio numerator</t>
  </si>
  <si>
    <t>Health claim-ratio numerator</t>
  </si>
  <si>
    <t>Company-level disclosed claim-ratio numerator; not the sum of only selected rows</t>
  </si>
  <si>
    <t>Note: Selected business lines do not add up to Grand Total because ICICI Lombard’s Grand Total includes additional miscellaneous claim segments beyond Fire, Marine, Motor and Health. Grand Total is retained as the company-level disclosed claims figure.</t>
  </si>
  <si>
    <t>Raw ICICI Lombard NL-6 Commission Extract</t>
  </si>
  <si>
    <t>Source: ICICI Lombard Form NL-6 Commission Schedule; values in ₹ lakhs</t>
  </si>
  <si>
    <t>FY2024_25_Gross_Commission</t>
  </si>
  <si>
    <t>FY2025_26_Gross_Commission</t>
  </si>
  <si>
    <t>FY2024_25_Net_Commission</t>
  </si>
  <si>
    <t>FY2025_26_Net_Commission</t>
  </si>
  <si>
    <t>ICICI Lombard NL-6 Commission Schedule</t>
  </si>
  <si>
    <t>Fire commission load check</t>
  </si>
  <si>
    <t>Marine commission load check</t>
  </si>
  <si>
    <t>Motor commission load check</t>
  </si>
  <si>
    <t>Health commission load check</t>
  </si>
  <si>
    <t>Company-level disclosed commission load; not the sum of only selected rows</t>
  </si>
  <si>
    <t>Note: Selected business lines do not add up to Grand Total because ICICI Lombard’s Grand Total includes additional miscellaneous commission segments beyond Fire, Marine, Motor and Health. Grand Total is retained as the company-level disclosed commission figure.</t>
  </si>
  <si>
    <t>Raw ICICI Lombard NL-7 Operating Expenses Extract</t>
  </si>
  <si>
    <t>Source: ICICI Lombard Form NL-7 Operating Expenses Schedule; values in ₹ lakhs</t>
  </si>
  <si>
    <t>FY2024_25_Operating_Expenses</t>
  </si>
  <si>
    <t>FY2025_26_Operating_Expenses</t>
  </si>
  <si>
    <t>Total_Check_Note</t>
  </si>
  <si>
    <t>ICICI Lombard NL-7 Operating Expenses Schedule</t>
  </si>
  <si>
    <t>Fire expense-load check</t>
  </si>
  <si>
    <t>Selected row only</t>
  </si>
  <si>
    <t>Marine expense-load check</t>
  </si>
  <si>
    <t>Motor expense-load check</t>
  </si>
  <si>
    <t>Health expense-load check</t>
  </si>
  <si>
    <t>Company-level disclosed operating expense; not the sum of only selected rows</t>
  </si>
  <si>
    <t>Disclosed company-level total</t>
  </si>
  <si>
    <t>Note: Selected business lines do not add up to Grand Total because ICICI Lombard’s Grand Total includes additional miscellaneous operating expense segments beyond Fire, Marine, Motor and Health. Grand Total is retained as the company-level disclosed operating expense figure.</t>
  </si>
  <si>
    <t>Source_Name</t>
  </si>
  <si>
    <t>Source_Type</t>
  </si>
  <si>
    <t>Data_Used</t>
  </si>
  <si>
    <t>File_Saved_As</t>
  </si>
  <si>
    <t>Download_Status</t>
  </si>
  <si>
    <t>Extraction_Status</t>
  </si>
  <si>
    <t>Used_In_Sheets</t>
  </si>
  <si>
    <t>Notes</t>
  </si>
  <si>
    <t>GI Council Segment Report</t>
  </si>
  <si>
    <t>Industry statistics workbook</t>
  </si>
  <si>
    <t>Segment-wise gross direct premium by insurer and segment</t>
  </si>
  <si>
    <t>Segment premium growth, insurer ranking, dashboard charts</t>
  </si>
  <si>
    <t>GI_Council_Segmentwise_GDPI_Latest.xlsx</t>
  </si>
  <si>
    <t>Downloaded</t>
  </si>
  <si>
    <t>Extracted and cleaned</t>
  </si>
  <si>
    <t>Raw_GI_Council, Cleaned_Auto, Analysis, pivot sheets</t>
  </si>
  <si>
    <t>Used for Apr-25 vs Apr-26 premium comparison and insurer ranking</t>
  </si>
  <si>
    <t>Regulator annual report PDF</t>
  </si>
  <si>
    <t>Segment-wise incurred claims ratio</t>
  </si>
  <si>
    <t>Claim-pressure analysis and pricing adequacy interpretation</t>
  </si>
  <si>
    <t>IRDAI_Annual_Report_2024_25.pdf</t>
  </si>
  <si>
    <t>Extracted Table I.14</t>
  </si>
  <si>
    <t>Raw_IRDAI, IRDAI_ICR_Data</t>
  </si>
  <si>
    <t>ICR used as claim-pressure indicator</t>
  </si>
  <si>
    <t>Insurer public disclosure PDF</t>
  </si>
  <si>
    <t>Gross direct premium and net earned premium</t>
  </si>
  <si>
    <t>Company-level premium base and claim-ratio denominator</t>
  </si>
  <si>
    <t>ICICI_Lombard_NL4_Premium_FY2024_25.pdf</t>
  </si>
  <si>
    <t>Extracted selected segments and disclosed Grand Total</t>
  </si>
  <si>
    <t>Raw_ICICI_NL4, ICICI_Company_Case</t>
  </si>
  <si>
    <t>Selected rows do not add to Grand Total</t>
  </si>
  <si>
    <t>Net incurred claims</t>
  </si>
  <si>
    <t>Company-level claim-ratio numerator</t>
  </si>
  <si>
    <t>ICICI_Lombard_NL5_Claims_Incurred_FY2024_25.pdf</t>
  </si>
  <si>
    <t>Raw_ICICI_NL5, ICICI_Company_Case</t>
  </si>
  <si>
    <t>Gross commission and net commission</t>
  </si>
  <si>
    <t>Commission load analysis</t>
  </si>
  <si>
    <t>ICICI_Lombard_NL6_Commission_FY2024_25.pdf</t>
  </si>
  <si>
    <t>Raw_ICICI_NL6, ICICI_Company_Case</t>
  </si>
  <si>
    <t>Fire net commission is negative due to reinsurance commission effect</t>
  </si>
  <si>
    <t>Operating expenses related to insurance business</t>
  </si>
  <si>
    <t>Expense load analysis</t>
  </si>
  <si>
    <t>ICICI_Lombard_NL7_Operating_Expenses_FY2024_25.pdf</t>
  </si>
  <si>
    <t>Raw_ICICI_NL7, ICICI_Company_Case</t>
  </si>
  <si>
    <t>Used for analytical Combined Load, not formal combined ratio</t>
  </si>
</sst>
</file>

<file path=xl/styles.xml><?xml version="1.0" encoding="utf-8"?>
<styleSheet xmlns="http://schemas.openxmlformats.org/spreadsheetml/2006/main">
  <numFmts count="18">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_(* #,##0.00_);_(* \(#,##0.00\);_(* &quot;-&quot;??_);_(@_)"/>
    <numFmt numFmtId="165" formatCode="MMMM DD "/>
    <numFmt numFmtId="166" formatCode="[$$-409]#,##0.00_);([$$-409]#,##0.00)"/>
    <numFmt numFmtId="167" formatCode="#,##0.00%"/>
    <numFmt numFmtId="10" formatCode="0.00%"/>
    <numFmt numFmtId="4" formatCode="#,##0.00"/>
    <numFmt numFmtId="2" formatCode="0.00"/>
    <numFmt numFmtId="3" formatCode="#,##0"/>
    <numFmt numFmtId="168" formatCode="#,##0.0000%"/>
    <numFmt numFmtId="1" formatCode="0"/>
  </numFmts>
  <fonts count="39">
    <font>
      <name val="Arial"/>
      <family val="2"/>
      <color rgb="FF000000"/>
      <sz val="10"/>
      <extLst>
        <ext uri="smNativeData">
          <pm:charSpec xmlns:pm="smNativeData" id="1780841053" ulstyle="none" kern="1">
            <pm:latin face="Arial" sz="200" lang="default"/>
            <pm:cs face="Times New Roman" sz="200" lang="default"/>
            <pm:ea face="SimSun" sz="200" lang="default"/>
          </pm:charSpec>
        </ext>
      </extLst>
    </font>
    <font>
      <name val="Times New Roman"/>
      <family val="1"/>
      <color rgb="FF000000"/>
      <sz val="10"/>
      <extLst>
        <ext uri="smNativeData">
          <pm:charSpec xmlns:pm="smNativeData" id="1780841053" ulstyle="none" kern="1">
            <pm:latin face="Times New Roman" sz="200" lang="default"/>
            <pm:cs face="Times New Roman" sz="200" lang="default"/>
            <pm:ea face="SimSun" sz="200" lang="default"/>
          </pm:charSpec>
        </ext>
      </extLst>
    </font>
    <font>
      <name val="Times New Roman"/>
      <family val="1"/>
      <b/>
      <color rgb="FF000000"/>
      <sz val="10"/>
      <extLst>
        <ext uri="smNativeData">
          <pm:charSpec xmlns:pm="smNativeData" id="1780841053" ulstyle="none" kern="1">
            <pm:latin face="Times New Roman" sz="200" lang="default" weight="bold"/>
            <pm:cs face="Times New Roman" sz="200" lang="default" weight="bold"/>
            <pm:ea face="SimSun" sz="200" lang="default" weight="bold"/>
          </pm:charSpec>
        </ext>
      </extLst>
    </font>
    <font>
      <name val="Arial"/>
      <family val="2"/>
      <b/>
      <color rgb="FF000000"/>
      <sz val="12"/>
      <extLst>
        <ext uri="smNativeData">
          <pm:charSpec xmlns:pm="smNativeData" id="1780841053" ulstyle="none" kern="1">
            <pm:latin face="Arial" sz="240" lang="default" weight="bold"/>
            <pm:cs face="Times New Roman" sz="240" lang="default"/>
            <pm:ea face="SimSun" sz="240" lang="default"/>
          </pm:charSpec>
        </ext>
      </extLst>
    </font>
    <font>
      <name val="Calibri"/>
      <family val="2"/>
      <color rgb="FF000000"/>
      <sz val="11"/>
      <extLst>
        <ext uri="smNativeData">
          <pm:charSpec xmlns:pm="smNativeData" id="1780841053" ulstyle="none" kern="1">
            <pm:latin face="Calibri" sz="220" lang="default"/>
            <pm:cs face="Times New Roman" sz="220" lang="default"/>
            <pm:ea face="SimSun" sz="220" lang="default"/>
          </pm:charSpec>
        </ext>
      </extLst>
    </font>
    <font>
      <name val="Arial"/>
      <family val="2"/>
      <b/>
      <color rgb="FF000000"/>
      <sz val="10"/>
      <extLst>
        <ext uri="smNativeData">
          <pm:charSpec xmlns:pm="smNativeData" id="1780841053" ulstyle="none" kern="1">
            <pm:latin face="Arial" sz="200" lang="default" weight="bold"/>
            <pm:cs face="Times New Roman" sz="200" lang="default"/>
            <pm:ea face="SimSun" sz="200" lang="default"/>
          </pm:charSpec>
        </ext>
      </extLst>
    </font>
    <font>
      <name val="Arial"/>
      <family val="2"/>
      <b/>
      <color rgb="FF000000"/>
      <sz val="14"/>
      <extLst>
        <ext uri="smNativeData">
          <pm:charSpec xmlns:pm="smNativeData" id="1780841053" ulstyle="none" kern="1">
            <pm:latin face="Arial" sz="280" lang="default" weight="bold"/>
            <pm:cs face="Times New Roman" sz="200" lang="default"/>
            <pm:ea face="SimSun" sz="200" lang="default"/>
          </pm:charSpec>
        </ext>
      </extLst>
    </font>
    <font>
      <name val="Arial"/>
      <family val="2"/>
      <b/>
      <color rgb="FFFFFFFF"/>
      <sz val="14"/>
      <extLst>
        <ext uri="smNativeData">
          <pm:charSpec xmlns:pm="smNativeData" id="1780841053" fgClr="FFFFFF" ulstyle="none" kern="1">
            <pm:latin face="Arial" sz="280" lang="default" weight="bold"/>
            <pm:cs face="Times New Roman" sz="200" lang="default"/>
            <pm:ea face="SimSun" sz="200" lang="default"/>
          </pm:charSpec>
        </ext>
      </extLst>
    </font>
    <font>
      <name val="Arial"/>
      <family val="2"/>
      <b/>
      <color rgb="FFFFFFFF"/>
      <sz val="10"/>
      <extLst>
        <ext uri="smNativeData">
          <pm:charSpec xmlns:pm="smNativeData" id="1780841053" fgClr="FFFFFF" ulstyle="none" kern="1">
            <pm:latin face="Arial" sz="200" lang="default" weight="bold"/>
            <pm:cs face="Times New Roman" sz="200" lang="default"/>
            <pm:ea face="SimSun" sz="200" lang="default"/>
          </pm:charSpec>
        </ext>
      </extLst>
    </font>
    <font>
      <name val="Arial"/>
      <family val="2"/>
      <color rgb="FFFFFFFF"/>
      <sz val="10"/>
      <extLst>
        <ext uri="smNativeData">
          <pm:charSpec xmlns:pm="smNativeData" id="1780841053" fgClr="FFFFFF" ulstyle="none" kern="1">
            <pm:latin face="Arial" sz="200" lang="default"/>
            <pm:cs face="Times New Roman" sz="200" lang="default"/>
            <pm:ea face="SimSun" sz="200" lang="default"/>
          </pm:charSpec>
        </ext>
      </extLst>
    </font>
    <font>
      <name val="Arial"/>
      <family val="2"/>
      <color rgb="FF333333"/>
      <sz val="10"/>
      <extLst>
        <ext uri="smNativeData">
          <pm:charSpec xmlns:pm="smNativeData" id="1780841053" fgClr="333333" ulstyle="none" kern="1">
            <pm:latin face="Arial" sz="200" lang="default"/>
            <pm:cs face="Times New Roman" sz="200" lang="default"/>
            <pm:ea face="SimSun" sz="200" lang="default"/>
          </pm:charSpec>
        </ext>
      </extLst>
    </font>
    <font>
      <name val="Arial"/>
      <family val="2"/>
      <b/>
      <color rgb="FF00007F"/>
      <sz val="14"/>
      <extLst>
        <ext uri="smNativeData">
          <pm:charSpec xmlns:pm="smNativeData" id="1780841053" fgClr="00007F" ulstyle="none" kern="1">
            <pm:latin face="Arial" sz="280" lang="default" weight="bold"/>
            <pm:cs face="Times New Roman" sz="200" lang="default"/>
            <pm:ea face="SimSun" sz="200" lang="default"/>
          </pm:charSpec>
        </ext>
      </extLst>
    </font>
    <font>
      <name val="Arial"/>
      <family val="2"/>
      <b/>
      <color rgb="FFFFFFFF"/>
      <sz val="16"/>
      <extLst>
        <ext uri="smNativeData">
          <pm:charSpec xmlns:pm="smNativeData" id="1780841053" fgClr="FFFFFF" ulstyle="none" kern="1">
            <pm:latin face="Arial" sz="320" lang="default" weight="bold"/>
            <pm:cs face="Times New Roman" sz="200" lang="default"/>
            <pm:ea face="SimSun" sz="200" lang="default"/>
          </pm:charSpec>
        </ext>
      </extLst>
    </font>
    <font>
      <name val="Arial"/>
      <family val="2"/>
      <b/>
      <color rgb="FFFFFFFF"/>
      <sz val="12"/>
      <extLst>
        <ext uri="smNativeData">
          <pm:charSpec xmlns:pm="smNativeData" id="1780841053" fgClr="FFFFFF" ulstyle="none" kern="1">
            <pm:latin face="Arial" sz="240" lang="default" weight="bold"/>
            <pm:cs face="Times New Roman" sz="200" lang="default"/>
            <pm:ea face="SimSun" sz="200" lang="default"/>
          </pm:charSpec>
        </ext>
      </extLst>
    </font>
    <font>
      <name val="Arial"/>
      <family val="2"/>
      <color rgb="FF000000"/>
      <sz val="16"/>
      <extLst>
        <ext uri="smNativeData">
          <pm:charSpec xmlns:pm="smNativeData" id="1780841053" ulstyle="none" kern="1">
            <pm:latin face="Arial" sz="320" lang="default"/>
            <pm:cs face="Times New Roman" sz="200" lang="default"/>
            <pm:ea face="SimSun" sz="200" lang="default"/>
          </pm:charSpec>
        </ext>
      </extLst>
    </font>
    <font>
      <name val="Arial"/>
      <family val="2"/>
      <b/>
      <color rgb="FFFFFFFF"/>
      <sz val="11"/>
      <extLst>
        <ext uri="smNativeData">
          <pm:charSpec xmlns:pm="smNativeData" id="1780841053" fgClr="FFFFFF" ulstyle="none" kern="1">
            <pm:latin face="Arial" sz="220" lang="default" weight="bold"/>
            <pm:cs face="Times New Roman" sz="200" lang="default"/>
            <pm:ea face="SimSun" sz="200" lang="default"/>
          </pm:charSpec>
        </ext>
      </extLst>
    </font>
    <font>
      <name val="Arial"/>
      <family val="2"/>
      <color rgb="FF000000"/>
      <sz val="11"/>
      <extLst>
        <ext uri="smNativeData">
          <pm:charSpec xmlns:pm="smNativeData" id="1780841053" ulstyle="none" kern="1">
            <pm:latin face="Arial" sz="220" lang="default"/>
            <pm:cs face="Times New Roman" sz="200" lang="default"/>
            <pm:ea face="SimSun" sz="200" lang="default"/>
          </pm:charSpec>
        </ext>
      </extLst>
    </font>
    <font>
      <name val="Arial"/>
      <family val="2"/>
      <b/>
      <color rgb="FF000000"/>
      <sz val="11"/>
      <extLst>
        <ext uri="smNativeData">
          <pm:charSpec xmlns:pm="smNativeData" id="1780841053" ulstyle="none" kern="1">
            <pm:latin face="Arial" sz="220" lang="default" weight="bold"/>
            <pm:cs face="Times New Roman" sz="200" lang="default"/>
            <pm:ea face="SimSun" sz="200" lang="default"/>
          </pm:charSpec>
        </ext>
      </extLst>
    </font>
    <font>
      <name val="Arial"/>
      <family val="2"/>
      <color rgb="FF000000"/>
      <sz val="12"/>
      <extLst>
        <ext uri="smNativeData">
          <pm:charSpec xmlns:pm="smNativeData" id="1780841053" ulstyle="none" kern="1">
            <pm:latin face="Arial" sz="240" lang="default"/>
            <pm:cs face="Times New Roman" sz="200" lang="default"/>
            <pm:ea face="SimSun" sz="200" lang="default"/>
          </pm:charSpec>
        </ext>
      </extLst>
    </font>
    <font>
      <name val="Arial"/>
      <family val="2"/>
      <color rgb="FFFFFFFF"/>
      <sz val="14"/>
      <extLst>
        <ext uri="smNativeData">
          <pm:charSpec xmlns:pm="smNativeData" id="1780841053" fgClr="FFFFFF" ulstyle="none" kern="1">
            <pm:latin face="Arial" sz="280" lang="default"/>
            <pm:cs face="Times New Roman" sz="200" lang="default"/>
            <pm:ea face="SimSun" sz="200" lang="default"/>
          </pm:charSpec>
        </ext>
      </extLst>
    </font>
    <font>
      <name val="Arial"/>
      <family val="2"/>
      <color rgb="FFE6E6E6"/>
      <sz val="14"/>
      <extLst>
        <ext uri="smNativeData">
          <pm:charSpec xmlns:pm="smNativeData" id="1780841053" fgClr="E6E6E6" ulstyle="none" kern="1">
            <pm:latin face="Arial" sz="280" lang="default"/>
            <pm:cs face="Times New Roman" sz="200" lang="default"/>
            <pm:ea face="SimSun" sz="200" lang="default"/>
          </pm:charSpec>
        </ext>
      </extLst>
    </font>
    <font>
      <name val="Arial"/>
      <family val="2"/>
      <b/>
      <color rgb="FFE6E6E6"/>
      <sz val="14"/>
      <extLst>
        <ext uri="smNativeData">
          <pm:charSpec xmlns:pm="smNativeData" id="1780841053" fgClr="E6E6E6" ulstyle="none" kern="1">
            <pm:latin face="Arial" sz="280" lang="default" weight="bold"/>
            <pm:cs face="Times New Roman" sz="200" lang="default"/>
            <pm:ea face="SimSun" sz="200" lang="default"/>
          </pm:charSpec>
        </ext>
      </extLst>
    </font>
    <font>
      <name val="Arial"/>
      <family val="2"/>
      <b/>
      <color rgb="FFE6E6E6"/>
      <sz val="10"/>
      <extLst>
        <ext uri="smNativeData">
          <pm:charSpec xmlns:pm="smNativeData" id="1780841053" fgClr="E6E6E6" ulstyle="none" kern="1">
            <pm:latin face="Arial" sz="200" lang="default" weight="bold"/>
            <pm:cs face="Times New Roman" sz="200" lang="default"/>
            <pm:ea face="SimSun" sz="200" lang="default"/>
          </pm:charSpec>
        </ext>
      </extLst>
    </font>
    <font>
      <name val="Arial"/>
      <family val="2"/>
      <b/>
      <color rgb="FF000000"/>
      <sz val="12"/>
      <extLst>
        <ext uri="smNativeData">
          <pm:charSpec xmlns:pm="smNativeData" id="1780841053" ulstyle="none" kern="1">
            <pm:latin face="Arial" sz="240" lang="default" weight="bold"/>
            <pm:cs face="Times New Roman" sz="200" lang="default"/>
            <pm:ea face="SimSun" sz="200" lang="default"/>
          </pm:charSpec>
        </ext>
      </extLst>
    </font>
    <font>
      <name val="Arial"/>
      <family val="2"/>
      <b/>
      <color rgb="FFFFFFFF"/>
      <sz val="15"/>
      <extLst>
        <ext uri="smNativeData">
          <pm:charSpec xmlns:pm="smNativeData" id="1780841053" fgClr="FFFFFF" ulstyle="none" kern="1">
            <pm:latin face="Arial" sz="300" lang="default" weight="bold"/>
            <pm:cs face="Times New Roman" sz="200" lang="default"/>
            <pm:ea face="SimSun" sz="200" lang="default"/>
          </pm:charSpec>
        </ext>
      </extLst>
    </font>
    <font>
      <name val="Arial"/>
      <family val="2"/>
      <b/>
      <color rgb="FF000000"/>
      <sz val="10"/>
      <extLst>
        <ext uri="smNativeData">
          <pm:charSpec xmlns:pm="smNativeData" id="1780841053" ulstyle="none" kern="1">
            <pm:latin face="Arial" sz="200" lang="default" weight="bold"/>
            <pm:cs face="Times New Roman" sz="200" lang="default" weight="bold"/>
            <pm:ea face="SimSun" sz="200" lang="default" weight="bold"/>
          </pm:charSpec>
        </ext>
      </extLst>
    </font>
    <font>
      <name val="Arial"/>
      <family val="2"/>
      <b/>
      <color rgb="FFFFFFFF"/>
      <sz val="14"/>
      <extLst>
        <ext uri="smNativeData">
          <pm:charSpec xmlns:pm="smNativeData" id="1780841053" fgClr="FFFFFF" ulstyle="none" kern="1">
            <pm:latin face="Arial" sz="280" lang="default" weight="bold"/>
            <pm:cs face="Times New Roman" sz="240" lang="default"/>
            <pm:ea face="SimSun" sz="240" lang="default"/>
          </pm:charSpec>
        </ext>
      </extLst>
    </font>
    <font>
      <name val="Arial"/>
      <family val="2"/>
      <color rgb="FFFFFFFF"/>
      <sz val="12"/>
      <extLst>
        <ext uri="smNativeData">
          <pm:charSpec xmlns:pm="smNativeData" id="1780841053" fgClr="FFFFFF" ulstyle="none" kern="1">
            <pm:latin face="Arial" sz="240" lang="default"/>
            <pm:cs face="Times New Roman" sz="200" lang="default"/>
            <pm:ea face="SimSun" sz="200" lang="default"/>
          </pm:charSpec>
        </ext>
      </extLst>
    </font>
    <font>
      <name val="Arial"/>
      <family val="2"/>
      <b/>
      <color rgb="FF000000"/>
      <sz val="16"/>
      <extLst>
        <ext uri="smNativeData">
          <pm:charSpec xmlns:pm="smNativeData" id="1780841053" ulstyle="none" kern="1">
            <pm:latin face="Arial" sz="320" lang="default" weight="bold"/>
            <pm:cs face="Times New Roman" sz="200" lang="default"/>
            <pm:ea face="SimSun" sz="200" lang="default"/>
          </pm:charSpec>
        </ext>
      </extLst>
    </font>
    <font>
      <name val="Arial"/>
      <family val="2"/>
      <b/>
      <color rgb="FF010180"/>
      <sz val="10"/>
      <extLst>
        <ext uri="smNativeData">
          <pm:charSpec xmlns:pm="smNativeData" id="1780841053" fgClr="010180" ulstyle="none" kern="1">
            <pm:latin face="Arial" sz="200" lang="default" weight="bold"/>
            <pm:cs face="Times New Roman" sz="200" lang="default"/>
            <pm:ea face="SimSun" sz="200" lang="default"/>
          </pm:charSpec>
        </ext>
      </extLst>
    </font>
    <font>
      <name val="Arial"/>
      <family val="2"/>
      <b/>
      <color rgb="FF333333"/>
      <sz val="10"/>
      <extLst>
        <ext uri="smNativeData">
          <pm:charSpec xmlns:pm="smNativeData" id="1780841053" fgClr="333333" ulstyle="none" kern="1">
            <pm:latin face="Arial" sz="200" lang="default" weight="bold"/>
            <pm:cs face="Times New Roman" sz="200" lang="default"/>
            <pm:ea face="SimSun" sz="200" lang="default"/>
          </pm:charSpec>
        </ext>
      </extLst>
    </font>
    <font>
      <name val="Arial"/>
      <family val="2"/>
      <b/>
      <color rgb="FF175327"/>
      <sz val="10"/>
      <extLst>
        <ext uri="smNativeData">
          <pm:charSpec xmlns:pm="smNativeData" id="1780841053" fgClr="175327" ulstyle="none" kern="1">
            <pm:latin face="Arial" sz="200" lang="default" weight="bold"/>
            <pm:cs face="Times New Roman" sz="200" lang="default"/>
            <pm:ea face="SimSun" sz="200" lang="default"/>
          </pm:charSpec>
        </ext>
      </extLst>
    </font>
    <font>
      <name val="Arial"/>
      <family val="2"/>
      <b/>
      <color rgb="FF4E4E01"/>
      <sz val="10"/>
      <extLst>
        <ext uri="smNativeData">
          <pm:charSpec xmlns:pm="smNativeData" id="1780841053" fgClr="4E4E01" ulstyle="none" kern="1">
            <pm:latin face="Arial" sz="200" lang="default" weight="bold"/>
            <pm:cs face="Times New Roman" sz="200" lang="default"/>
            <pm:ea face="SimSun" sz="200" lang="default"/>
          </pm:charSpec>
        </ext>
      </extLst>
    </font>
    <font>
      <name val="Arial"/>
      <family val="2"/>
      <b/>
      <color rgb="FF7F0000"/>
      <sz val="10"/>
      <extLst>
        <ext uri="smNativeData">
          <pm:charSpec xmlns:pm="smNativeData" id="1780841053" fgClr="7F0000" ulstyle="none" kern="1">
            <pm:latin face="Arial" sz="200" lang="default" weight="bold"/>
            <pm:cs face="Times New Roman" sz="200" lang="default"/>
            <pm:ea face="SimSun" sz="200" lang="default"/>
          </pm:charSpec>
        </ext>
      </extLst>
    </font>
    <font>
      <name val="Arial"/>
      <family val="2"/>
      <b/>
      <color rgb="FF6A3504"/>
      <sz val="10"/>
      <extLst>
        <ext uri="smNativeData">
          <pm:charSpec xmlns:pm="smNativeData" id="1780841053" fgClr="6A3504" ulstyle="none" kern="1">
            <pm:latin face="Arial" sz="200" lang="default" weight="bold"/>
            <pm:cs face="Times New Roman" sz="200" lang="default"/>
            <pm:ea face="SimSun" sz="200" lang="default"/>
          </pm:charSpec>
        </ext>
      </extLst>
    </font>
    <font>
      <name val="Arial"/>
      <family val="2"/>
      <b/>
      <color rgb="FF600060"/>
      <sz val="10"/>
      <extLst>
        <ext uri="smNativeData">
          <pm:charSpec xmlns:pm="smNativeData" id="1780841053" fgClr="600060" ulstyle="none" kern="1">
            <pm:latin face="Arial" sz="200" lang="default" weight="bold"/>
            <pm:cs face="Times New Roman" sz="200" lang="default"/>
            <pm:ea face="SimSun" sz="200" lang="default"/>
          </pm:charSpec>
        </ext>
      </extLst>
    </font>
    <font>
      <name val="Arial"/>
      <family val="2"/>
      <b/>
      <color rgb="FF010180"/>
      <sz val="12"/>
      <extLst>
        <ext uri="smNativeData">
          <pm:charSpec xmlns:pm="smNativeData" id="1780841053" fgClr="010180" ulstyle="none" kern="1">
            <pm:latin face="Arial" sz="240" lang="default" weight="bold"/>
            <pm:cs face="Times New Roman" sz="200" lang="default"/>
            <pm:ea face="SimSun" sz="200" lang="default"/>
          </pm:charSpec>
        </ext>
      </extLst>
    </font>
    <font>
      <name val="Arial"/>
      <family val="2"/>
      <b/>
      <color rgb="FFFFFFFF"/>
      <sz val="18"/>
      <extLst>
        <ext uri="smNativeData">
          <pm:charSpec xmlns:pm="smNativeData" id="1780841053" fgClr="FFFFFF" ulstyle="none" kern="1">
            <pm:latin face="Arial" sz="360" lang="default" weight="bold"/>
            <pm:cs face="Times New Roman" sz="200" lang="default"/>
            <pm:ea face="SimSun" sz="200" lang="default"/>
          </pm:charSpec>
        </ext>
      </extLst>
    </font>
    <font>
      <name val="Arial"/>
      <family val="2"/>
      <color rgb="FF000000"/>
      <sz val="14"/>
      <extLst>
        <ext uri="smNativeData">
          <pm:charSpec xmlns:pm="smNativeData" id="1780841053" ulstyle="none" kern="1">
            <pm:latin face="Arial" sz="280" lang="default"/>
            <pm:cs face="Times New Roman" sz="200" lang="default"/>
            <pm:ea face="SimSun" sz="200" lang="default"/>
          </pm:charSpec>
        </ext>
      </extLst>
    </font>
  </fonts>
  <fills count="277">
    <fill>
      <patternFill patternType="none"/>
    </fill>
    <fill>
      <patternFill patternType="gray125"/>
    </fill>
    <fill>
      <patternFill patternType="none"/>
    </fill>
    <fill>
      <patternFill patternType="solid">
        <fgColor rgb="FF9EFFFF"/>
        <bgColor rgb="FFFFFFFF"/>
        <extLst>
          <ext uri="smNativeData">
            <pm:shade xmlns:pm="smNativeData" id="1780841053" type="1" fgLvl="38" fgClr="0000FFFF" bgLvl="62" bgClr="00FFFFFF"/>
          </ext>
        </extLst>
      </patternFill>
    </fill>
    <fill>
      <patternFill patternType="solid">
        <fgColor rgb="FFFFFF5C"/>
        <bgColor rgb="FFFFFFFF"/>
        <extLst>
          <ext uri="smNativeData">
            <pm:shade xmlns:pm="smNativeData" id="1780841053" type="1" fgLvl="64" fgClr="00FFFF00" bgLvl="36" bgClr="00FFFFFF"/>
          </ext>
        </extLst>
      </patternFill>
    </fill>
    <fill>
      <patternFill patternType="solid">
        <fgColor rgb="FF010180"/>
        <bgColor rgb="FFFFFFFF"/>
        <extLst>
          <ext uri="smNativeData">
            <pm:shade xmlns:pm="smNativeData" id="1780841053" type="1" fgLvl="50" fgClr="000000FF" bgLvl="50" bgClr="00000000"/>
          </ext>
        </extLst>
      </patternFill>
    </fill>
    <fill>
      <patternFill patternType="solid">
        <fgColor rgb="FF010180"/>
        <bgColor rgb="FFFFFFFF"/>
        <extLst>
          <ext uri="smNativeData">
            <pm:shade xmlns:pm="smNativeData" id="1780841053" type="1" fgLvl="50" fgClr="000000FF" bgLvl="50" bgClr="00000000"/>
          </ext>
        </extLst>
      </patternFill>
    </fill>
    <fill>
      <patternFill patternType="solid">
        <fgColor rgb="FF010180"/>
        <bgColor rgb="FFFFFFFF"/>
        <extLst>
          <ext uri="smNativeData">
            <pm:shade xmlns:pm="smNativeData" id="1780841053" type="1" fgLvl="50" fgClr="000000FF" bgLvl="50" bgClr="00000000"/>
          </ext>
        </extLst>
      </patternFill>
    </fill>
    <fill>
      <patternFill patternType="solid">
        <fgColor rgb="FF0000FF"/>
        <bgColor rgb="FFFFFFFF"/>
        <extLst>
          <ext uri="smNativeData">
            <pm:shade xmlns:pm="smNativeData" id="1780841053" type="1" fgLvl="100" fgClr="000000FF" bgLvl="0" bgClr="00000000"/>
          </ext>
        </extLst>
      </patternFill>
    </fill>
    <fill>
      <patternFill patternType="solid">
        <fgColor rgb="FF0000FF"/>
        <bgColor rgb="FFFFFFFF"/>
        <extLst>
          <ext uri="smNativeData">
            <pm:shade xmlns:pm="smNativeData" id="1780841053" type="1" fgLvl="100" fgClr="000000FF" bgLvl="0" bgClr="00000000"/>
          </ext>
        </extLst>
      </patternFill>
    </fill>
    <fill>
      <patternFill patternType="solid">
        <fgColor rgb="FFFFFF5C"/>
        <bgColor rgb="FFFFFFFF"/>
        <extLst>
          <ext uri="smNativeData">
            <pm:shade xmlns:pm="smNativeData" id="1780841053" type="1" fgLvl="64" fgClr="00FFFF00" bgLvl="36" bgClr="00FFFFFF"/>
          </ext>
        </extLst>
      </patternFill>
    </fill>
    <fill>
      <patternFill patternType="none"/>
    </fill>
    <fill>
      <patternFill patternType="solid">
        <fgColor rgb="FF5CFF5C"/>
        <bgColor rgb="FFFFFFFF"/>
        <extLst>
          <ext uri="smNativeData">
            <pm:shade xmlns:pm="smNativeData" id="1780841053" type="1" fgLvl="64" fgClr="0000FF00" bgLvl="36" bgClr="00FFFFFF"/>
          </ext>
        </extLst>
      </patternFill>
    </fill>
    <fill>
      <patternFill patternType="solid">
        <fgColor rgb="FF9EFF9E"/>
        <bgColor rgb="FFFFFFFF"/>
        <extLst>
          <ext uri="smNativeData">
            <pm:shade xmlns:pm="smNativeData" id="1780841053" type="1" fgLvl="38" fgClr="0000FF00" bgLvl="62" bgClr="00FFFFFF"/>
          </ext>
        </extLst>
      </patternFill>
    </fill>
    <fill>
      <patternFill patternType="solid">
        <fgColor rgb="FFE0FFE0"/>
        <bgColor rgb="FFFFFFFF"/>
        <extLst>
          <ext uri="smNativeData">
            <pm:shade xmlns:pm="smNativeData" id="1780841053" type="1" fgLvl="12" fgClr="0000FF00" bgLvl="88" bgClr="00FFFFFF"/>
          </ext>
        </extLst>
      </patternFill>
    </fill>
    <fill>
      <patternFill patternType="solid">
        <fgColor rgb="FFCCCCCC"/>
        <bgColor rgb="FFFFFFFF"/>
        <extLst>
          <ext uri="smNativeData">
            <pm:shade xmlns:pm="smNativeData" id="1780841053" type="1" fgLvl="100" fgClr="00CCCCCC" bgLvl="0" bgClr="00FFFFFF"/>
          </ext>
        </extLst>
      </patternFill>
    </fill>
    <fill>
      <patternFill patternType="solid">
        <fgColor rgb="FFCCCCCC"/>
        <bgColor rgb="FFFFFFFF"/>
        <extLst>
          <ext uri="smNativeData">
            <pm:shade xmlns:pm="smNativeData" id="1780841053" type="1" fgLvl="100" fgClr="00CCCCCC" bgLvl="0" bgClr="00FFFFFF"/>
          </ext>
        </extLst>
      </patternFill>
    </fill>
    <fill>
      <patternFill patternType="solid">
        <fgColor rgb="FFCCCCCC"/>
        <bgColor rgb="FFFFFFFF"/>
        <extLst>
          <ext uri="smNativeData">
            <pm:shade xmlns:pm="smNativeData" id="1780841053" type="1" fgLvl="100" fgClr="00CCCCCC" bgLvl="0" bgClr="00FFFFFF"/>
          </ext>
        </extLst>
      </patternFill>
    </fill>
    <fill>
      <patternFill patternType="solid">
        <fgColor rgb="FF999999"/>
        <bgColor rgb="FFFFFFFF"/>
        <extLst>
          <ext uri="smNativeData">
            <pm:shade xmlns:pm="smNativeData" id="1780841053" type="1" fgLvl="100" fgClr="00999999" bgLvl="0" bgClr="00FFFFFF"/>
          </ext>
        </extLst>
      </patternFill>
    </fill>
    <fill>
      <patternFill patternType="solid">
        <fgColor rgb="FF333333"/>
        <bgColor rgb="FFFFFFFF"/>
        <extLst>
          <ext uri="smNativeData">
            <pm:shade xmlns:pm="smNativeData" id="1780841053" type="1" fgLvl="100" fgClr="00333333" bgLvl="0" bgClr="00FFFFFF"/>
          </ext>
        </extLst>
      </patternFill>
    </fill>
    <fill>
      <patternFill patternType="solid">
        <fgColor rgb="FF00007F"/>
        <bgColor rgb="FFFFFFFF"/>
        <extLst>
          <ext uri="smNativeData">
            <pm:shade xmlns:pm="smNativeData" id="1780841053" type="1" fgLvl="100" fgClr="0000007F" bgLvl="0" bgClr="00FFFFFF"/>
          </ext>
        </extLst>
      </patternFill>
    </fill>
    <fill>
      <patternFill patternType="solid">
        <fgColor rgb="FF00007F"/>
        <bgColor rgb="FFFFFFFF"/>
        <extLst>
          <ext uri="smNativeData">
            <pm:shade xmlns:pm="smNativeData" id="1780841053" type="1" fgLvl="100" fgClr="0000007F" bgLvl="0" bgClr="00FFFFFF"/>
          </ext>
        </extLst>
      </patternFill>
    </fill>
    <fill>
      <patternFill patternType="solid">
        <fgColor rgb="FFFF9E9E"/>
        <bgColor rgb="FFFFFFFF"/>
        <extLst>
          <ext uri="smNativeData">
            <pm:shade xmlns:pm="smNativeData" id="1780841053" type="1" fgLvl="38" fgClr="00FF0000" bgLvl="62" bgClr="00FFFFFF"/>
          </ext>
        </extLst>
      </patternFill>
    </fill>
    <fill>
      <patternFill patternType="solid">
        <fgColor rgb="FF175327"/>
        <bgColor rgb="FFFFFFFF"/>
        <extLst>
          <ext uri="smNativeData">
            <pm:shade xmlns:pm="smNativeData" id="1780841053" type="1" fgLvl="0" fgClr="0000007F" bgLvl="100" bgClr="00175327"/>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007F00"/>
        <bgColor rgb="FFFFFFFF"/>
        <extLst>
          <ext uri="smNativeData">
            <pm:shade xmlns:pm="smNativeData" id="1780841053" type="1" fgLvl="100" fgClr="00007F00" bgLvl="0" bgClr="00FFFFFF"/>
          </ext>
        </extLst>
      </patternFill>
    </fill>
    <fill>
      <patternFill patternType="solid">
        <fgColor rgb="FF7F0000"/>
        <bgColor rgb="FFFFFFFF"/>
        <extLst>
          <ext uri="smNativeData">
            <pm:shade xmlns:pm="smNativeData" id="1780841053" type="1" fgLvl="100" fgClr="007F0000" bgLvl="0" bgClr="00FFFFFF"/>
          </ext>
        </extLst>
      </patternFill>
    </fill>
    <fill>
      <patternFill patternType="solid">
        <fgColor rgb="FFD10000"/>
        <bgColor rgb="FFFFFFFF"/>
        <extLst>
          <ext uri="smNativeData">
            <pm:shade xmlns:pm="smNativeData" id="1780841053" type="1" fgLvl="82" fgClr="00FF0000" bgLvl="18" bgClr="00000000"/>
          </ext>
        </extLst>
      </patternFill>
    </fill>
    <fill>
      <patternFill patternType="solid">
        <fgColor rgb="FF800180"/>
        <bgColor rgb="FFFFFFFF"/>
        <extLst>
          <ext uri="smNativeData">
            <pm:shade xmlns:pm="smNativeData" id="1780841053" type="1" fgLvl="50" fgClr="00FF00FF" bgLvl="50" bgClr="00000000"/>
          </ext>
        </extLst>
      </patternFill>
    </fill>
    <fill>
      <patternFill patternType="solid">
        <fgColor rgb="FF800180"/>
        <bgColor rgb="FFFFFFFF"/>
        <extLst>
          <ext uri="smNativeData">
            <pm:shade xmlns:pm="smNativeData" id="1780841053" type="1" fgLvl="50" fgClr="00FF00FF" bgLvl="50" bgClr="00000000"/>
          </ext>
        </extLst>
      </patternFill>
    </fill>
    <fill>
      <patternFill patternType="solid">
        <fgColor rgb="FFFFE0FF"/>
        <bgColor rgb="FFFFFFFF"/>
        <extLst>
          <ext uri="smNativeData">
            <pm:shade xmlns:pm="smNativeData" id="1780841053" type="1" fgLvl="12" fgClr="00FF00FF" bgLvl="88" bgClr="00FFFFFF"/>
          </ext>
        </extLst>
      </patternFill>
    </fill>
    <fill>
      <patternFill patternType="solid">
        <fgColor rgb="FFE0FFFF"/>
        <bgColor rgb="FFFFFFFF"/>
        <extLst>
          <ext uri="smNativeData">
            <pm:shade xmlns:pm="smNativeData" id="1780841053" type="1" fgLvl="12" fgClr="0000FFFF" bgLvl="88" bgClr="00FFFFFF"/>
          </ext>
        </extLst>
      </patternFill>
    </fill>
    <fill>
      <patternFill patternType="solid">
        <fgColor rgb="FFFFFFE0"/>
        <bgColor rgb="FFFFFFFF"/>
        <extLst>
          <ext uri="smNativeData">
            <pm:shade xmlns:pm="smNativeData" id="1780841053" type="1" fgLvl="12" fgClr="00FFFF00" bgLvl="88" bgClr="00FFFFFF"/>
          </ext>
        </extLst>
      </patternFill>
    </fill>
    <fill>
      <patternFill patternType="solid">
        <fgColor rgb="FF333333"/>
        <bgColor rgb="FFFFFFFF"/>
        <extLst>
          <ext uri="smNativeData">
            <pm:shade xmlns:pm="smNativeData" id="1780841053" type="1" fgLvl="100" fgClr="00333333" bgLvl="0" bgClr="00FFFFFF"/>
          </ext>
        </extLst>
      </patternFill>
    </fill>
    <fill>
      <patternFill patternType="solid">
        <fgColor rgb="FF010180"/>
        <bgColor rgb="FFFFFFFF"/>
        <extLst>
          <ext uri="smNativeData">
            <pm:shade xmlns:pm="smNativeData" id="1780841053" type="1" fgLvl="50" fgClr="000000FF" bgLvl="50" bgClr="00000000"/>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CCCCCC"/>
        <bgColor rgb="FFFFFFFF"/>
        <extLst>
          <ext uri="smNativeData">
            <pm:shade xmlns:pm="smNativeData" id="1780841053" type="1" fgLvl="100" fgClr="00CCCCCC" bgLvl="0" bgClr="00FFFFFF"/>
          </ext>
        </extLst>
      </patternFill>
    </fill>
    <fill>
      <patternFill patternType="solid">
        <fgColor rgb="FF7F7F7F"/>
        <bgColor rgb="FFFFFFFF"/>
        <extLst>
          <ext uri="smNativeData">
            <pm:shade xmlns:pm="smNativeData" id="1780841053" type="1" fgLvl="100" fgClr="007F7F7F" bgLvl="0" bgClr="00FFFFFF"/>
          </ext>
        </extLst>
      </patternFill>
    </fill>
    <fill>
      <patternFill patternType="solid">
        <fgColor rgb="FF999999"/>
        <bgColor rgb="FFFFFFFF"/>
        <extLst>
          <ext uri="smNativeData">
            <pm:shade xmlns:pm="smNativeData" id="1780841053" type="1" fgLvl="100" fgClr="00999999" bgLvl="0" bgClr="00FFFFFF"/>
          </ext>
        </extLst>
      </patternFill>
    </fill>
    <fill>
      <patternFill patternType="solid">
        <fgColor rgb="FFB5B5B5"/>
        <bgColor rgb="FFFFFFFF"/>
        <extLst>
          <ext uri="smNativeData">
            <pm:shade xmlns:pm="smNativeData" id="1780841053" type="1" fgLvl="71" fgClr="00FFFFFF" bgLvl="29" bgClr="00000000"/>
          </ext>
        </extLst>
      </patternFill>
    </fill>
    <fill>
      <patternFill patternType="solid">
        <fgColor rgb="FF007F00"/>
        <bgColor rgb="FFFFFFFF"/>
        <extLst>
          <ext uri="smNativeData">
            <pm:shade xmlns:pm="smNativeData" id="1780841053" type="1" fgLvl="100" fgClr="00007F00" bgLvl="0" bgClr="00FFFFFF"/>
          </ext>
        </extLst>
      </patternFill>
    </fill>
    <fill>
      <patternFill patternType="solid">
        <fgColor rgb="FF7F007F"/>
        <bgColor rgb="FFFFFFFF"/>
        <extLst>
          <ext uri="smNativeData">
            <pm:shade xmlns:pm="smNativeData" id="1780841053" type="1" fgLvl="100" fgClr="007F007F" bgLvl="0" bgClr="00FFFFFF"/>
          </ext>
        </extLst>
      </patternFill>
    </fill>
    <fill>
      <patternFill patternType="solid">
        <fgColor rgb="FFA30000"/>
        <bgColor rgb="FFFFFFFF"/>
        <extLst>
          <ext uri="smNativeData">
            <pm:shade xmlns:pm="smNativeData" id="1780841053" type="1" fgLvl="64" fgClr="00FF0000" bgLvl="36" bgClr="00000000"/>
          </ext>
        </extLst>
      </patternFill>
    </fill>
    <fill>
      <patternFill patternType="solid">
        <fgColor rgb="FFE26B0A"/>
        <bgColor rgb="FFFFFFFF"/>
        <extLst>
          <ext uri="smNativeData">
            <pm:shade xmlns:pm="smNativeData" id="1780841053" type="1" fgLvl="100" fgClr="00E26B0A" bgLvl="0" bgClr="00FFFFFF"/>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333333"/>
        <bgColor rgb="FFFFFFFF"/>
        <extLst>
          <ext uri="smNativeData">
            <pm:shade xmlns:pm="smNativeData" id="1780841053" type="1" fgLvl="100" fgClr="00333333" bgLvl="0" bgClr="00FFFFFF"/>
          </ext>
        </extLst>
      </patternFill>
    </fill>
    <fill>
      <patternFill patternType="solid">
        <fgColor rgb="FF333333"/>
        <bgColor rgb="FFFFFFFF"/>
        <extLst>
          <ext uri="smNativeData">
            <pm:shade xmlns:pm="smNativeData" id="1780841053" type="1" fgLvl="100" fgClr="00333333" bgLvl="0" bgClr="00FFFFFF"/>
          </ext>
        </extLst>
      </patternFill>
    </fill>
    <fill>
      <patternFill patternType="solid">
        <fgColor rgb="FFB3B3B3"/>
        <bgColor rgb="FFFFFFFF"/>
        <extLst>
          <ext uri="smNativeData">
            <pm:shade xmlns:pm="smNativeData" id="1780841053" type="1" fgLvl="100" fgClr="00B3B3B3" bgLvl="0" bgClr="00FFFFFF"/>
          </ext>
        </extLst>
      </patternFill>
    </fill>
    <fill>
      <patternFill patternType="solid">
        <fgColor rgb="FF5CFF5C"/>
        <bgColor rgb="FFFFFFFF"/>
        <extLst>
          <ext uri="smNativeData">
            <pm:shade xmlns:pm="smNativeData" id="1780841053" type="1" fgLvl="64" fgClr="0000FF00" bgLvl="36" bgClr="00FFFFFF"/>
          </ext>
        </extLst>
      </patternFill>
    </fill>
    <fill>
      <patternFill patternType="solid">
        <fgColor rgb="FF9EFF9E"/>
        <bgColor rgb="FFFFFFFF"/>
        <extLst>
          <ext uri="smNativeData">
            <pm:shade xmlns:pm="smNativeData" id="1780841053" type="1" fgLvl="38" fgClr="0000FF00" bgLvl="62" bgClr="00FFFFFF"/>
          </ext>
        </extLst>
      </patternFill>
    </fill>
    <fill>
      <patternFill patternType="solid">
        <fgColor rgb="FFE0FFE0"/>
        <bgColor rgb="FFFFFFFF"/>
        <extLst>
          <ext uri="smNativeData">
            <pm:shade xmlns:pm="smNativeData" id="1780841053" type="1" fgLvl="12" fgClr="0000FF00" bgLvl="88" bgClr="00FFFFFF"/>
          </ext>
        </extLst>
      </patternFill>
    </fill>
    <fill>
      <patternFill patternType="solid">
        <fgColor rgb="FFD9D9D9"/>
        <bgColor rgb="FFFFFFFF"/>
        <extLst>
          <ext uri="smNativeData">
            <pm:shade xmlns:pm="smNativeData" id="1780841053" type="1" fgLvl="85" fgClr="00FFFFFF" bgLvl="15" bgClr="00000000"/>
          </ext>
        </extLst>
      </patternFill>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00007F"/>
        <bgColor rgb="FFFFFFFF"/>
        <extLst>
          <ext uri="smNativeData">
            <pm:shade xmlns:pm="smNativeData" id="1780841053" type="1" fgLvl="100" fgClr="0000007F" bgLvl="0" bgClr="00FFFFFF"/>
          </ext>
        </extLst>
      </patternFill>
    </fill>
    <fill>
      <patternFill patternType="solid">
        <fgColor rgb="FF00007F"/>
        <bgColor rgb="FFFFFFFF"/>
        <extLst>
          <ext uri="smNativeData">
            <pm:shade xmlns:pm="smNativeData" id="1780841053" type="1" fgLvl="100" fgClr="0000007F" bgLvl="0" bgClr="00FFFFFF"/>
          </ext>
        </extLst>
      </patternFill>
    </fill>
    <fill>
      <patternFill patternType="none"/>
    </fill>
    <fill>
      <patternFill patternType="none"/>
    </fill>
    <fill>
      <patternFill patternType="none"/>
    </fill>
    <fill>
      <patternFill patternType="none"/>
    </fill>
    <fill>
      <patternFill patternType="solid">
        <fgColor rgb="FFB3B3B3"/>
        <bgColor rgb="FFFFFFFF"/>
        <extLst>
          <ext uri="smNativeData">
            <pm:shade xmlns:pm="smNativeData" id="1780841053" type="1" fgLvl="100" fgClr="00B3B3B3" bgLvl="0" bgClr="00FFFFFF"/>
          </ext>
        </extLst>
      </patternFill>
    </fill>
    <fill>
      <patternFill patternType="none"/>
    </fill>
    <fill>
      <patternFill patternType="solid">
        <fgColor rgb="FF007F00"/>
        <bgColor rgb="FFFFFFFF"/>
        <extLst>
          <ext uri="smNativeData">
            <pm:shade xmlns:pm="smNativeData" id="1780841053" type="1" fgLvl="100" fgClr="00007F00" bgLvl="0" bgClr="00FFFFFF"/>
          </ext>
        </extLst>
      </patternFill>
    </fill>
    <fill>
      <patternFill patternType="none"/>
    </fill>
    <fill>
      <patternFill patternType="none"/>
    </fill>
    <fill>
      <patternFill patternType="solid">
        <fgColor rgb="FF333333"/>
        <bgColor rgb="FFFFFFFF"/>
        <extLst>
          <ext uri="smNativeData">
            <pm:shade xmlns:pm="smNativeData" id="1780841053" type="1" fgLvl="100" fgClr="00333333" bgLvl="0" bgClr="00FFFFFF"/>
          </ext>
        </extLst>
      </patternFill>
    </fill>
    <fill>
      <patternFill patternType="none"/>
    </fill>
    <fill>
      <patternFill patternType="solid">
        <fgColor rgb="FF800180"/>
        <bgColor rgb="FFFFFFFF"/>
        <extLst>
          <ext uri="smNativeData">
            <pm:shade xmlns:pm="smNativeData" id="1780841053" type="1" fgLvl="50" fgClr="00FF00FF" bgLvl="50" bgClr="00000000"/>
          </ext>
        </extLst>
      </patternFill>
    </fill>
    <fill>
      <patternFill patternType="solid">
        <fgColor rgb="FFFF9E9E"/>
        <bgColor rgb="FFFFFFFF"/>
        <extLst>
          <ext uri="smNativeData">
            <pm:shade xmlns:pm="smNativeData" id="1780841053" type="1" fgLvl="38" fgClr="00FF00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none"/>
    </fill>
    <fill>
      <patternFill patternType="none"/>
    </fill>
    <fill>
      <patternFill patternType="none"/>
    </fill>
    <fill>
      <patternFill patternType="solid">
        <fgColor rgb="FFE26B0A"/>
        <bgColor rgb="FFFFFFFF"/>
        <extLst>
          <ext uri="smNativeData">
            <pm:shade xmlns:pm="smNativeData" id="1780841053" type="1" fgLvl="100" fgClr="00E26B0A" bgLvl="0" bgClr="00FFFFFF"/>
          </ext>
        </extLst>
      </patternFill>
    </fill>
    <fill>
      <patternFill patternType="solid">
        <fgColor rgb="FFE26B0A"/>
        <bgColor rgb="FFFFFFFF"/>
        <extLst>
          <ext uri="smNativeData">
            <pm:shade xmlns:pm="smNativeData" id="1780841053" type="1" fgLvl="100" fgClr="00E26B0A" bgLvl="0" bgClr="00FFFFFF"/>
          </ext>
        </extLst>
      </patternFill>
    </fill>
    <fill>
      <patternFill patternType="none"/>
    </fill>
    <fill>
      <patternFill patternType="solid">
        <fgColor rgb="FFD9D9D9"/>
        <bgColor rgb="FFFFFFFF"/>
        <extLst>
          <ext uri="smNativeData">
            <pm:shade xmlns:pm="smNativeData" id="1780841053" type="1" fgLvl="85" fgClr="00FFFFFF" bgLvl="15" bgClr="00000000"/>
          </ext>
        </extLst>
      </patternFill>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9E"/>
        <bgColor rgb="FFFFFFFF"/>
        <extLst>
          <ext uri="smNativeData">
            <pm:shade xmlns:pm="smNativeData" id="1780841053" type="1" fgLvl="38" fgClr="00FF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E6E6E6"/>
        <bgColor rgb="FFFFFFFF"/>
        <extLst>
          <ext uri="smNativeData">
            <pm:shade xmlns:pm="smNativeData" id="1780841053" type="1" fgLvl="100" fgClr="00E6E6E6" bgLvl="0" bgClr="00FFFFFF"/>
          </ext>
        </extLst>
      </patternFill>
    </fill>
    <fill>
      <patternFill patternType="none"/>
    </fill>
    <fill>
      <patternFill patternType="solid">
        <fgColor rgb="FF0000A3"/>
        <bgColor rgb="FFFFFFFF"/>
        <extLst>
          <ext uri="smNativeData">
            <pm:shade xmlns:pm="smNativeData" id="1780841053" type="1" fgLvl="64" fgClr="000000FF" bgLvl="36" bgClr="00000000"/>
          </ext>
        </extLst>
      </patternFill>
    </fill>
    <fill>
      <patternFill patternType="solid">
        <fgColor rgb="FF0000A3"/>
        <bgColor rgb="FFFFFFFF"/>
        <extLst>
          <ext uri="smNativeData">
            <pm:shade xmlns:pm="smNativeData" id="1780841053" type="1" fgLvl="64" fgClr="000000FF" bgLvl="36" bgClr="00000000"/>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E6E6E6"/>
        <bgColor rgb="FFFFFFFF"/>
        <extLst>
          <ext uri="smNativeData">
            <pm:shade xmlns:pm="smNativeData" id="1780841053" type="1" fgLvl="100" fgClr="00E6E6E6" bgLvl="0" bgClr="00FFFFFF"/>
          </ext>
        </extLst>
      </patternFill>
    </fill>
    <fill>
      <patternFill patternType="none"/>
    </fill>
    <fill>
      <patternFill patternType="none"/>
    </fill>
    <fill>
      <patternFill patternType="solid">
        <fgColor rgb="FFFFFF9E"/>
        <bgColor rgb="FFFFFFFF"/>
        <extLst>
          <ext uri="smNativeData">
            <pm:shade xmlns:pm="smNativeData" id="1780841053" type="1" fgLvl="38" fgClr="00FF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007F00"/>
        <bgColor rgb="FFFFFFFF"/>
        <extLst>
          <ext uri="smNativeData">
            <pm:shade xmlns:pm="smNativeData" id="1780841053" type="1" fgLvl="100" fgClr="00007F00" bgLvl="0" bgClr="00FFFFFF"/>
          </ext>
        </extLst>
      </patternFill>
    </fill>
    <fill>
      <patternFill patternType="solid">
        <fgColor rgb="FF007F00"/>
        <bgColor rgb="FFFFFFFF"/>
        <extLst>
          <ext uri="smNativeData">
            <pm:shade xmlns:pm="smNativeData" id="1780841053" type="1" fgLvl="100" fgClr="00007F00" bgLvl="0" bgClr="00FFFFFF"/>
          </ext>
        </extLst>
      </patternFill>
    </fill>
    <fill>
      <patternFill patternType="solid">
        <fgColor rgb="FF007F00"/>
        <bgColor rgb="FFFFFFFF"/>
        <extLst>
          <ext uri="smNativeData">
            <pm:shade xmlns:pm="smNativeData" id="1780841053" type="1" fgLvl="100" fgClr="00007F00" bgLvl="0" bgClr="00FFFFFF"/>
          </ext>
        </extLst>
      </patternFill>
    </fill>
    <fill>
      <patternFill patternType="solid">
        <fgColor rgb="FF333333"/>
        <bgColor rgb="FFFFFFFF"/>
        <extLst>
          <ext uri="smNativeData">
            <pm:shade xmlns:pm="smNativeData" id="1780841053" type="1" fgLvl="100" fgClr="00333333" bgLvl="0" bgClr="00FFFFFF"/>
          </ext>
        </extLst>
      </patternFill>
    </fill>
    <fill>
      <patternFill patternType="solid">
        <fgColor rgb="FF010180"/>
        <bgColor rgb="FFFFFFFF"/>
        <extLst>
          <ext uri="smNativeData">
            <pm:shade xmlns:pm="smNativeData" id="1780841053" type="1" fgLvl="50" fgClr="000000FF" bgLvl="50" bgClr="00000000"/>
          </ext>
        </extLst>
      </patternFill>
    </fill>
    <fill>
      <patternFill patternType="solid">
        <fgColor rgb="FF0000FF"/>
        <bgColor rgb="FFFFFFFF"/>
        <extLst>
          <ext uri="smNativeData">
            <pm:shade xmlns:pm="smNativeData" id="1780841053" type="1" fgLvl="100" fgClr="000000FF" bgLvl="0" bgClr="00000000"/>
          </ext>
        </extLst>
      </patternFill>
    </fill>
    <fill>
      <patternFill patternType="solid">
        <fgColor rgb="FF010180"/>
        <bgColor rgb="FFFFFFFF"/>
        <extLst>
          <ext uri="smNativeData">
            <pm:shade xmlns:pm="smNativeData" id="1780841053" type="1" fgLvl="50" fgClr="000000FF" bgLvl="50" bgClr="00000000"/>
          </ext>
        </extLst>
      </patternFill>
    </fill>
    <fill>
      <patternFill patternType="none"/>
    </fill>
    <fill>
      <patternFill patternType="none"/>
    </fill>
    <fill>
      <patternFill patternType="solid">
        <fgColor rgb="FFF79646"/>
        <bgColor rgb="FFFFFFFF"/>
        <extLst>
          <ext uri="smNativeData">
            <pm:shade xmlns:pm="smNativeData" id="1780841053" type="1" fgLvl="100" fgClr="00F79646" bgLvl="0" bgClr="00FFFFFF"/>
          </ext>
        </extLst>
      </patternFill>
    </fill>
    <fill>
      <patternFill patternType="solid">
        <fgColor rgb="FFF79646"/>
        <bgColor rgb="FFFFFFFF"/>
        <extLst>
          <ext uri="smNativeData">
            <pm:shade xmlns:pm="smNativeData" id="1780841053" type="1" fgLvl="100" fgClr="00F79646" bgLvl="0" bgClr="00FFFFFF"/>
          </ext>
        </extLst>
      </patternFill>
    </fill>
    <fill>
      <patternFill patternType="solid">
        <fgColor rgb="FFF79646"/>
        <bgColor rgb="FFFFFFFF"/>
        <extLst>
          <ext uri="smNativeData">
            <pm:shade xmlns:pm="smNativeData" id="1780841053" type="1" fgLvl="100" fgClr="00F79646" bgLvl="0" bgClr="00FFFFFF"/>
          </ext>
        </extLst>
      </patternFill>
    </fill>
    <fill>
      <patternFill patternType="solid">
        <fgColor rgb="FFF79646"/>
        <bgColor rgb="FFFFFFFF"/>
        <extLst>
          <ext uri="smNativeData">
            <pm:shade xmlns:pm="smNativeData" id="1780841053" type="1" fgLvl="100" fgClr="00F79646" bgLvl="0" bgClr="00FFFFFF"/>
          </ext>
        </extLst>
      </patternFill>
    </fill>
    <fill>
      <patternFill patternType="solid">
        <fgColor rgb="FFF79646"/>
        <bgColor rgb="FFFFFFFF"/>
        <extLst>
          <ext uri="smNativeData">
            <pm:shade xmlns:pm="smNativeData" id="1780841053" type="1" fgLvl="100" fgClr="00F79646" bgLvl="0" bgClr="00FFFFFF"/>
          </ext>
        </extLst>
      </patternFill>
    </fill>
    <fill>
      <patternFill patternType="solid">
        <fgColor rgb="FFF79646"/>
        <bgColor rgb="FFFFFFFF"/>
        <extLst>
          <ext uri="smNativeData">
            <pm:shade xmlns:pm="smNativeData" id="1780841053" type="1" fgLvl="100" fgClr="00F79646" bgLvl="0" bgClr="00FFFFFF"/>
          </ext>
        </extLst>
      </patternFill>
    </fill>
    <fill>
      <patternFill patternType="solid">
        <fgColor rgb="FFF79646"/>
        <bgColor rgb="FFFFFFFF"/>
        <extLst>
          <ext uri="smNativeData">
            <pm:shade xmlns:pm="smNativeData" id="1780841053" type="1" fgLvl="100" fgClr="00F79646" bgLvl="0" bgClr="00FFFFFF"/>
          </ext>
        </extLst>
      </patternFill>
    </fill>
    <fill>
      <patternFill patternType="solid">
        <fgColor rgb="FFF79646"/>
        <bgColor rgb="FFFFFFFF"/>
        <extLst>
          <ext uri="smNativeData">
            <pm:shade xmlns:pm="smNativeData" id="1780841053" type="1" fgLvl="100" fgClr="00F79646" bgLvl="0" bgClr="00FFFFFF"/>
          </ext>
        </extLst>
      </patternFill>
    </fill>
    <fill>
      <patternFill patternType="solid">
        <fgColor rgb="FF9EFF9E"/>
        <bgColor rgb="FFFFFFFF"/>
        <extLst>
          <ext uri="smNativeData">
            <pm:shade xmlns:pm="smNativeData" id="1780841053" type="1" fgLvl="38" fgClr="0000FF00" bgLvl="62" bgClr="00FFFFFF"/>
          </ext>
        </extLst>
      </patternFill>
    </fill>
    <fill>
      <patternFill patternType="solid">
        <fgColor rgb="FF9EFF9E"/>
        <bgColor rgb="FFFFFFFF"/>
        <extLst>
          <ext uri="smNativeData">
            <pm:shade xmlns:pm="smNativeData" id="1780841053" type="1" fgLvl="38" fgClr="0000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9EFF"/>
        <bgColor rgb="FFFFFFFF"/>
        <extLst>
          <ext uri="smNativeData">
            <pm:shade xmlns:pm="smNativeData" id="1780841053" type="1" fgLvl="38" fgClr="00FF00FF" bgLvl="62" bgClr="00FFFFFF"/>
          </ext>
        </extLst>
      </patternFill>
    </fill>
    <fill>
      <patternFill patternType="solid">
        <fgColor rgb="FFFF9EFF"/>
        <bgColor rgb="FFFFFFFF"/>
        <extLst>
          <ext uri="smNativeData">
            <pm:shade xmlns:pm="smNativeData" id="1780841053" type="1" fgLvl="38" fgClr="00FF00FF" bgLvl="62" bgClr="00FFFFFF"/>
          </ext>
        </extLst>
      </patternFill>
    </fill>
    <fill>
      <patternFill patternType="solid">
        <fgColor rgb="FFFF9E9E"/>
        <bgColor rgb="FFFFFFFF"/>
        <extLst>
          <ext uri="smNativeData">
            <pm:shade xmlns:pm="smNativeData" id="1780841053" type="1" fgLvl="38" fgClr="00FF0000" bgLvl="62" bgClr="00FFFFFF"/>
          </ext>
        </extLst>
      </patternFill>
    </fill>
    <fill>
      <patternFill patternType="solid">
        <fgColor rgb="FFFF9E9E"/>
        <bgColor rgb="FFFFFFFF"/>
        <extLst>
          <ext uri="smNativeData">
            <pm:shade xmlns:pm="smNativeData" id="1780841053" type="1" fgLvl="38" fgClr="00FF0000" bgLvl="62" bgClr="00FFFFFF"/>
          </ext>
        </extLst>
      </patternFill>
    </fill>
    <fill>
      <patternFill patternType="solid">
        <fgColor rgb="FFFF9E9E"/>
        <bgColor rgb="FFFFFFFF"/>
        <extLst>
          <ext uri="smNativeData">
            <pm:shade xmlns:pm="smNativeData" id="1780841053" type="1" fgLvl="38" fgClr="00FF0000" bgLvl="62" bgClr="00FFFFFF"/>
          </ext>
        </extLst>
      </patternFill>
    </fill>
    <fill>
      <patternFill patternType="solid">
        <fgColor rgb="FF9EFF9E"/>
        <bgColor rgb="FFFFFFFF"/>
        <extLst>
          <ext uri="smNativeData">
            <pm:shade xmlns:pm="smNativeData" id="1780841053" type="1" fgLvl="38" fgClr="0000FF00" bgLvl="62" bgClr="00FFFFFF"/>
          </ext>
        </extLst>
      </patternFill>
    </fill>
    <fill>
      <patternFill patternType="solid">
        <fgColor rgb="FFFF9EFF"/>
        <bgColor rgb="FFFFFFFF"/>
        <extLst>
          <ext uri="smNativeData">
            <pm:shade xmlns:pm="smNativeData" id="1780841053" type="1" fgLvl="38" fgClr="00FF00FF" bgLvl="62" bgClr="00FFFFFF"/>
          </ext>
        </extLst>
      </patternFill>
    </fill>
    <fill>
      <patternFill patternType="solid">
        <fgColor rgb="FFF79646"/>
        <bgColor rgb="FFFFFFFF"/>
        <extLst>
          <ext uri="smNativeData">
            <pm:shade xmlns:pm="smNativeData" id="1780841053" type="1" fgLvl="100" fgClr="00F79646" bgLvl="0" bgClr="00FFFFFF"/>
          </ext>
        </extLst>
      </patternFill>
    </fill>
    <fill>
      <patternFill patternType="solid">
        <fgColor rgb="FF919191"/>
        <bgColor rgb="FFFFFFFF"/>
        <extLst>
          <ext uri="smNativeData">
            <pm:shade xmlns:pm="smNativeData" id="1780841053" type="1" fgLvl="57" fgClr="00FFFFFF" bgLvl="43" bgClr="00000000"/>
          </ext>
        </extLst>
      </patternFill>
    </fill>
    <fill>
      <patternFill patternType="solid">
        <fgColor rgb="FFFFFF5C"/>
        <bgColor rgb="FFFFFFFF"/>
        <extLst>
          <ext uri="smNativeData">
            <pm:shade xmlns:pm="smNativeData" id="1780841053" type="1" fgLvl="64" fgClr="00FFFF00" bgLvl="36" bgClr="00FFFFFF"/>
          </ext>
        </extLst>
      </patternFill>
    </fill>
    <fill>
      <patternFill patternType="solid">
        <fgColor rgb="FFFFFF5C"/>
        <bgColor rgb="FFFFFFFF"/>
        <extLst>
          <ext uri="smNativeData">
            <pm:shade xmlns:pm="smNativeData" id="1780841053" type="1" fgLvl="64" fgClr="00FFFF00" bgLvl="36" bgClr="00FFFFFF"/>
          </ext>
        </extLst>
      </patternFill>
    </fill>
    <fill>
      <patternFill patternType="solid">
        <fgColor rgb="FFFFFF5C"/>
        <bgColor rgb="FFFFFFFF"/>
        <extLst>
          <ext uri="smNativeData">
            <pm:shade xmlns:pm="smNativeData" id="1780841053" type="1" fgLvl="64" fgClr="00FFFF00" bgLvl="36" bgClr="00FFFFFF"/>
          </ext>
        </extLst>
      </patternFill>
    </fill>
    <fill>
      <patternFill patternType="solid">
        <fgColor rgb="FFFFFF5C"/>
        <bgColor rgb="FFFFFFFF"/>
        <extLst>
          <ext uri="smNativeData">
            <pm:shade xmlns:pm="smNativeData" id="1780841053" type="1" fgLvl="64" fgClr="00FFFF00" bgLvl="36" bgClr="00FFFFFF"/>
          </ext>
        </extLst>
      </patternFill>
    </fill>
    <fill>
      <patternFill patternType="solid">
        <fgColor rgb="FFFFFF5C"/>
        <bgColor rgb="FFFFFFFF"/>
        <extLst>
          <ext uri="smNativeData">
            <pm:shade xmlns:pm="smNativeData" id="1780841053" type="1" fgLvl="64" fgClr="00FFFF00" bgLvl="36" bgClr="00FFFFFF"/>
          </ext>
        </extLst>
      </patternFill>
    </fill>
    <fill>
      <patternFill patternType="solid">
        <fgColor rgb="FFFFFF5C"/>
        <bgColor rgb="FFFFFFFF"/>
        <extLst>
          <ext uri="smNativeData">
            <pm:shade xmlns:pm="smNativeData" id="1780841053" type="1" fgLvl="64" fgClr="00FFFF00" bgLvl="36" bgClr="00FFFFFF"/>
          </ext>
        </extLst>
      </patternFill>
    </fill>
    <fill>
      <patternFill patternType="solid">
        <fgColor rgb="FFFFFF5C"/>
        <bgColor rgb="FFFFFFFF"/>
        <extLst>
          <ext uri="smNativeData">
            <pm:shade xmlns:pm="smNativeData" id="1780841053" type="1" fgLvl="64" fgClr="00FFFF00" bgLvl="36" bgClr="00FFFFFF"/>
          </ext>
        </extLst>
      </patternFill>
    </fill>
    <fill>
      <patternFill patternType="solid">
        <fgColor rgb="FF919191"/>
        <bgColor rgb="FFFFFFFF"/>
        <extLst>
          <ext uri="smNativeData">
            <pm:shade xmlns:pm="smNativeData" id="1780841053" type="1" fgLvl="57" fgClr="00FFFFFF" bgLvl="43" bgClr="00000000"/>
          </ext>
        </extLst>
      </patternFill>
    </fill>
    <fill>
      <patternFill patternType="none"/>
    </fill>
    <fill>
      <patternFill patternType="solid">
        <fgColor rgb="FFFFFF5C"/>
        <bgColor rgb="FFFFFFFF"/>
        <extLst>
          <ext uri="smNativeData">
            <pm:shade xmlns:pm="smNativeData" id="1780841053" type="1" fgLvl="64" fgClr="00FFFF00" bgLvl="36" bgClr="00FFFFFF"/>
          </ext>
        </extLst>
      </patternFill>
    </fill>
    <fill>
      <patternFill patternType="solid">
        <fgColor rgb="FFFFFF5C"/>
        <bgColor rgb="FFFFFFFF"/>
        <extLst>
          <ext uri="smNativeData">
            <pm:shade xmlns:pm="smNativeData" id="1780841053" type="1" fgLvl="64" fgClr="00FFFF00" bgLvl="36" bgClr="00FFFFFF"/>
          </ext>
        </extLst>
      </patternFill>
    </fill>
    <fill>
      <patternFill patternType="solid">
        <fgColor rgb="FF800101"/>
        <bgColor rgb="FFFFFFFF"/>
        <extLst>
          <ext uri="smNativeData">
            <pm:shade xmlns:pm="smNativeData" id="1780841053" type="1" fgLvl="50" fgClr="00FF0000" bgLvl="50" bgClr="00000000"/>
          </ext>
        </extLst>
      </patternFill>
    </fill>
    <fill>
      <patternFill patternType="solid">
        <fgColor rgb="FF800101"/>
        <bgColor rgb="FFFFFFFF"/>
        <extLst>
          <ext uri="smNativeData">
            <pm:shade xmlns:pm="smNativeData" id="1780841053" type="1" fgLvl="50" fgClr="00FF0000" bgLvl="50" bgClr="00000000"/>
          </ext>
        </extLst>
      </patternFill>
    </fill>
    <fill>
      <patternFill patternType="none"/>
    </fill>
    <fill>
      <patternFill patternType="solid">
        <fgColor rgb="FF0000FF"/>
        <bgColor rgb="FFFFFFFF"/>
        <extLst>
          <ext uri="smNativeData">
            <pm:shade xmlns:pm="smNativeData" id="1780841053" type="1" fgLvl="100" fgClr="000000FF" bgLvl="0" bgClr="00000000"/>
          </ext>
        </extLst>
      </patternFill>
    </fill>
    <fill>
      <patternFill patternType="solid">
        <fgColor rgb="FFFFFF5C"/>
        <bgColor rgb="FFFFFFFF"/>
        <extLst>
          <ext uri="smNativeData">
            <pm:shade xmlns:pm="smNativeData" id="1780841053" type="1" fgLvl="64" fgClr="00FFFF00" bgLvl="36" bgClr="00FFFFFF"/>
          </ext>
        </extLst>
      </patternFill>
    </fill>
    <fill>
      <patternFill patternType="solid">
        <fgColor rgb="FF5CFF5C"/>
        <bgColor rgb="FFFFFFFF"/>
        <extLst>
          <ext uri="smNativeData">
            <pm:shade xmlns:pm="smNativeData" id="1780841053" type="1" fgLvl="64" fgClr="0000FF00" bgLvl="36" bgClr="00FFFFFF"/>
          </ext>
        </extLst>
      </patternFill>
    </fill>
    <fill>
      <patternFill patternType="solid">
        <fgColor rgb="FF9EFF9E"/>
        <bgColor rgb="FFFFFFFF"/>
        <extLst>
          <ext uri="smNativeData">
            <pm:shade xmlns:pm="smNativeData" id="1780841053" type="1" fgLvl="38" fgClr="0000FF00" bgLvl="62" bgClr="00FFFFFF"/>
          </ext>
        </extLst>
      </patternFill>
    </fill>
    <fill>
      <patternFill patternType="solid">
        <fgColor rgb="FFE0FFE0"/>
        <bgColor rgb="FFFFFFFF"/>
        <extLst>
          <ext uri="smNativeData">
            <pm:shade xmlns:pm="smNativeData" id="1780841053" type="1" fgLvl="12" fgClr="0000FF00" bgLvl="88" bgClr="00FFFFFF"/>
          </ext>
        </extLst>
      </patternFill>
    </fill>
    <fill>
      <patternFill patternType="none"/>
    </fill>
    <fill>
      <patternFill patternType="none"/>
    </fill>
    <fill>
      <patternFill patternType="solid">
        <fgColor rgb="FFE26B0A"/>
        <bgColor rgb="FFFFFFFF"/>
        <extLst>
          <ext uri="smNativeData">
            <pm:shade xmlns:pm="smNativeData" id="1780841053" type="1" fgLvl="100" fgClr="00E26B0A" bgLvl="0" bgClr="00FFFFFF"/>
          </ext>
        </extLst>
      </patternFill>
    </fill>
    <fill>
      <patternFill patternType="solid">
        <fgColor rgb="FF010180"/>
        <bgColor rgb="FFFFFFFF"/>
        <extLst>
          <ext uri="smNativeData">
            <pm:shade xmlns:pm="smNativeData" id="1780841053" type="1" fgLvl="50" fgClr="000000FF" bgLvl="50" bgClr="00000000"/>
          </ext>
        </extLst>
      </patternFill>
    </fill>
    <fill>
      <patternFill patternType="solid">
        <fgColor rgb="FF0000FF"/>
        <bgColor rgb="FFFFFFFF"/>
        <extLst>
          <ext uri="smNativeData">
            <pm:shade xmlns:pm="smNativeData" id="1780841053" type="1" fgLvl="100" fgClr="000000FF" bgLvl="0" bgClr="00000000"/>
          </ext>
        </extLst>
      </patternFill>
    </fill>
    <fill>
      <patternFill patternType="solid">
        <fgColor rgb="FFFFFF5C"/>
        <bgColor rgb="FFFFFFFF"/>
        <extLst>
          <ext uri="smNativeData">
            <pm:shade xmlns:pm="smNativeData" id="1780841053" type="1" fgLvl="64" fgClr="00FFFF00" bgLvl="36" bgClr="00FFFFFF"/>
          </ext>
        </extLst>
      </patternFill>
    </fill>
    <fill>
      <patternFill patternType="solid">
        <fgColor rgb="FF5CFF5C"/>
        <bgColor rgb="FFFFFFFF"/>
        <extLst>
          <ext uri="smNativeData">
            <pm:shade xmlns:pm="smNativeData" id="1780841053" type="1" fgLvl="64" fgClr="0000FF00" bgLvl="36" bgClr="00FFFFFF"/>
          </ext>
        </extLst>
      </patternFill>
    </fill>
    <fill>
      <patternFill patternType="solid">
        <fgColor rgb="FF9EFF9E"/>
        <bgColor rgb="FFFFFFFF"/>
        <extLst>
          <ext uri="smNativeData">
            <pm:shade xmlns:pm="smNativeData" id="1780841053" type="1" fgLvl="38" fgClr="0000FF00" bgLvl="62" bgClr="00FFFFFF"/>
          </ext>
        </extLst>
      </patternFill>
    </fill>
    <fill>
      <patternFill patternType="solid">
        <fgColor rgb="FFE0FFE0"/>
        <bgColor rgb="FFFFFFFF"/>
        <extLst>
          <ext uri="smNativeData">
            <pm:shade xmlns:pm="smNativeData" id="1780841053" type="1" fgLvl="12" fgClr="0000FF00" bgLvl="88" bgClr="00FFFFFF"/>
          </ext>
        </extLst>
      </patternFill>
    </fill>
    <fill>
      <patternFill patternType="none"/>
    </fill>
    <fill>
      <patternFill patternType="solid">
        <fgColor rgb="FF0000FF"/>
        <bgColor rgb="FFFFFFFF"/>
        <extLst>
          <ext uri="smNativeData">
            <pm:shade xmlns:pm="smNativeData" id="1780841053" type="1" fgLvl="100" fgClr="000000FF" bgLvl="0" bgClr="00000000"/>
          </ext>
        </extLst>
      </patternFill>
    </fill>
    <fill>
      <patternFill patternType="none"/>
    </fill>
    <fill>
      <patternFill patternType="solid">
        <fgColor rgb="FF74420A"/>
        <bgColor rgb="FFFFFFFF"/>
        <extLst>
          <ext uri="smNativeData">
            <pm:shade xmlns:pm="smNativeData" id="1780841053" type="1" fgLvl="0" fgClr="00F79646" bgLvl="100" bgClr="0074420A"/>
          </ext>
        </extLst>
      </patternFill>
    </fill>
    <fill>
      <patternFill patternType="solid">
        <fgColor rgb="FF010180"/>
        <bgColor rgb="FFFFFFFF"/>
        <extLst>
          <ext uri="smNativeData">
            <pm:shade xmlns:pm="smNativeData" id="1780841053" type="1" fgLvl="50" fgClr="000000FF" bgLvl="50" bgClr="00000000"/>
          </ext>
        </extLst>
      </patternFill>
    </fill>
    <fill>
      <patternFill patternType="solid">
        <fgColor rgb="FF74420A"/>
        <bgColor rgb="FFFFFFFF"/>
        <extLst>
          <ext uri="smNativeData">
            <pm:shade xmlns:pm="smNativeData" id="1780841053" type="1" fgLvl="0" fgClr="00F79646" bgLvl="100" bgClr="0074420A"/>
          </ext>
        </extLst>
      </patternFill>
    </fill>
    <fill>
      <patternFill patternType="solid">
        <fgColor rgb="FFA30000"/>
        <bgColor rgb="FFFFFFFF"/>
        <extLst>
          <ext uri="smNativeData">
            <pm:shade xmlns:pm="smNativeData" id="1780841053" type="1" fgLvl="64" fgClr="00FF0000" bgLvl="36" bgClr="00000000"/>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9EFF9E"/>
        <bgColor rgb="FFFFFFFF"/>
        <extLst>
          <ext uri="smNativeData">
            <pm:shade xmlns:pm="smNativeData" id="1780841053" type="1" fgLvl="38" fgClr="0000FF00" bgLvl="62" bgClr="00FFFFFF"/>
          </ext>
        </extLst>
      </patternFill>
    </fill>
    <fill>
      <patternFill patternType="solid">
        <fgColor rgb="FFFF9EFF"/>
        <bgColor rgb="FFFFFFFF"/>
        <extLst>
          <ext uri="smNativeData">
            <pm:shade xmlns:pm="smNativeData" id="1780841053" type="1" fgLvl="38" fgClr="00FF00FF" bgLvl="62" bgClr="00FFFFFF"/>
          </ext>
        </extLst>
      </patternFill>
    </fill>
    <fill>
      <patternFill patternType="solid">
        <fgColor rgb="FFFF9E9E"/>
        <bgColor rgb="FFFFFFFF"/>
        <extLst>
          <ext uri="smNativeData">
            <pm:shade xmlns:pm="smNativeData" id="1780841053" type="1" fgLvl="38" fgClr="00FF0000" bgLvl="62" bgClr="00FFFFFF"/>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9EFF9E"/>
        <bgColor rgb="FFFFFFFF"/>
        <extLst>
          <ext uri="smNativeData">
            <pm:shade xmlns:pm="smNativeData" id="1780841053" type="1" fgLvl="38" fgClr="0000FF00" bgLvl="62" bgClr="00FFFFFF"/>
          </ext>
        </extLst>
      </patternFill>
    </fill>
    <fill>
      <patternFill patternType="solid">
        <fgColor rgb="FFFF9EFF"/>
        <bgColor rgb="FFFFFFFF"/>
        <extLst>
          <ext uri="smNativeData">
            <pm:shade xmlns:pm="smNativeData" id="1780841053" type="1" fgLvl="38" fgClr="00FF00FF" bgLvl="62" bgClr="00FFFFFF"/>
          </ext>
        </extLst>
      </patternFill>
    </fill>
    <fill>
      <patternFill patternType="solid">
        <fgColor rgb="FFFF9E9E"/>
        <bgColor rgb="FFFFFFFF"/>
        <extLst>
          <ext uri="smNativeData">
            <pm:shade xmlns:pm="smNativeData" id="1780841053" type="1" fgLvl="38" fgClr="00FF0000" bgLvl="62" bgClr="00FFFFFF"/>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9EFF9E"/>
        <bgColor rgb="FFFFFFFF"/>
        <extLst>
          <ext uri="smNativeData">
            <pm:shade xmlns:pm="smNativeData" id="1780841053" type="1" fgLvl="38" fgClr="0000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9EFF"/>
        <bgColor rgb="FFFFFFFF"/>
        <extLst>
          <ext uri="smNativeData">
            <pm:shade xmlns:pm="smNativeData" id="1780841053" type="1" fgLvl="38" fgClr="00FF00FF" bgLvl="62" bgClr="00FFFFFF"/>
          </ext>
        </extLst>
      </patternFill>
    </fill>
    <fill>
      <patternFill patternType="solid">
        <fgColor rgb="FFFF9E9E"/>
        <bgColor rgb="FFFFFFFF"/>
        <extLst>
          <ext uri="smNativeData">
            <pm:shade xmlns:pm="smNativeData" id="1780841053" type="1" fgLvl="38" fgClr="00FF0000" bgLvl="62" bgClr="00FFFFFF"/>
          </ext>
        </extLst>
      </patternFill>
    </fill>
    <fill>
      <patternFill patternType="solid">
        <fgColor rgb="FF800101"/>
        <bgColor rgb="FFFFFFFF"/>
        <extLst>
          <ext uri="smNativeData">
            <pm:shade xmlns:pm="smNativeData" id="1780841053" type="1" fgLvl="50" fgClr="00FF0000" bgLvl="50" bgClr="00000000"/>
          </ext>
        </extLst>
      </patternFill>
    </fill>
    <fill>
      <patternFill patternType="solid">
        <fgColor rgb="FF010180"/>
        <bgColor rgb="FFFFFFFF"/>
        <extLst>
          <ext uri="smNativeData">
            <pm:shade xmlns:pm="smNativeData" id="1780841053" type="1" fgLvl="50" fgClr="000000FF" bgLvl="50" bgClr="00000000"/>
          </ext>
        </extLst>
      </patternFill>
    </fill>
    <fill>
      <patternFill patternType="solid">
        <fgColor rgb="FF00FFFF"/>
        <bgColor rgb="FFFFFFFF"/>
        <extLst>
          <ext uri="smNativeData">
            <pm:shade xmlns:pm="smNativeData" id="1780841053" type="1" fgLvl="100" fgClr="0000FFFF" bgLvl="0" bgClr="00000000"/>
          </ext>
        </extLst>
      </patternFill>
    </fill>
    <fill>
      <patternFill patternType="solid">
        <fgColor rgb="FF00FFFF"/>
        <bgColor rgb="FFFFFFFF"/>
        <extLst>
          <ext uri="smNativeData">
            <pm:shade xmlns:pm="smNativeData" id="1780841053" type="1" fgLvl="100" fgClr="0000FFFF" bgLvl="0" bgClr="00000000"/>
          </ext>
        </extLst>
      </patternFill>
    </fill>
    <fill>
      <patternFill patternType="solid">
        <fgColor rgb="FF919191"/>
        <bgColor rgb="FFFFFFFF"/>
        <extLst>
          <ext uri="smNativeData">
            <pm:shade xmlns:pm="smNativeData" id="1780841053" type="1" fgLvl="57" fgClr="00FFFFFF" bgLvl="43" bgClr="00000000"/>
          </ext>
        </extLst>
      </patternFill>
    </fill>
    <fill>
      <patternFill patternType="solid">
        <fgColor rgb="FF919191"/>
        <bgColor rgb="FFFFFFFF"/>
        <extLst>
          <ext uri="smNativeData">
            <pm:shade xmlns:pm="smNativeData" id="1780841053" type="1" fgLvl="57" fgClr="00FFFFFF" bgLvl="43" bgClr="00000000"/>
          </ext>
        </extLst>
      </patternFill>
    </fill>
    <fill>
      <patternFill patternType="solid">
        <fgColor rgb="FF600060"/>
        <bgColor rgb="FFFFFFFF"/>
        <extLst>
          <ext uri="smNativeData">
            <pm:shade xmlns:pm="smNativeData" id="1780841053" type="1" fgLvl="100" fgClr="00600060" bgLvl="0" bgClr="00FFFFFF"/>
          </ext>
        </extLst>
      </patternFill>
    </fill>
    <fill>
      <patternFill patternType="solid">
        <fgColor rgb="FF600060"/>
        <bgColor rgb="FFFFFFFF"/>
        <extLst>
          <ext uri="smNativeData">
            <pm:shade xmlns:pm="smNativeData" id="1780841053" type="1" fgLvl="100" fgClr="00600060" bgLvl="0" bgClr="00FFFFFF"/>
          </ext>
        </extLst>
      </patternFill>
    </fill>
    <fill>
      <patternFill patternType="solid">
        <fgColor rgb="FF600060"/>
        <bgColor rgb="FFFFFFFF"/>
        <extLst>
          <ext uri="smNativeData">
            <pm:shade xmlns:pm="smNativeData" id="1780841053" type="1" fgLvl="100" fgClr="00600060" bgLvl="0" bgClr="00FFFFFF"/>
          </ext>
        </extLst>
      </patternFill>
    </fill>
    <fill>
      <patternFill patternType="solid">
        <fgColor rgb="FFB5B5B5"/>
        <bgColor rgb="FFFFFFFF"/>
        <extLst>
          <ext uri="smNativeData">
            <pm:shade xmlns:pm="smNativeData" id="1780841053" type="1" fgLvl="71" fgClr="00FFFFFF" bgLvl="29" bgClr="00000000"/>
          </ext>
        </extLst>
      </patternFill>
    </fill>
    <fill>
      <patternFill patternType="solid">
        <fgColor rgb="FFB5B5B5"/>
        <bgColor rgb="FFFFFFFF"/>
        <extLst>
          <ext uri="smNativeData">
            <pm:shade xmlns:pm="smNativeData" id="1780841053" type="1" fgLvl="71" fgClr="00FFFFFF" bgLvl="29" bgClr="00000000"/>
          </ext>
        </extLst>
      </patternFill>
    </fill>
    <fill>
      <patternFill patternType="solid">
        <fgColor rgb="FFB5B5B5"/>
        <bgColor rgb="FFFFFFFF"/>
        <extLst>
          <ext uri="smNativeData">
            <pm:shade xmlns:pm="smNativeData" id="1780841053" type="1" fgLvl="71" fgClr="00FFFFFF" bgLvl="29" bgClr="00000000"/>
          </ext>
        </extLst>
      </patternFill>
    </fill>
    <fill>
      <patternFill patternType="solid">
        <fgColor rgb="FFB5B5B5"/>
        <bgColor rgb="FFFFFFFF"/>
        <extLst>
          <ext uri="smNativeData">
            <pm:shade xmlns:pm="smNativeData" id="1780841053" type="1" fgLvl="71" fgClr="00FFFFFF" bgLvl="29" bgClr="00000000"/>
          </ext>
        </extLst>
      </patternFill>
    </fill>
    <fill>
      <patternFill patternType="solid">
        <fgColor rgb="FFB5B5B5"/>
        <bgColor rgb="FFFFFFFF"/>
        <extLst>
          <ext uri="smNativeData">
            <pm:shade xmlns:pm="smNativeData" id="1780841053" type="1" fgLvl="71" fgClr="00FFFFFF" bgLvl="29" bgClr="00000000"/>
          </ext>
        </extLst>
      </patternFill>
    </fill>
    <fill>
      <patternFill patternType="solid">
        <fgColor rgb="FFB5B5B5"/>
        <bgColor rgb="FFFFFFFF"/>
        <extLst>
          <ext uri="smNativeData">
            <pm:shade xmlns:pm="smNativeData" id="1780841053" type="1" fgLvl="71" fgClr="00FFFFFF" bgLvl="29" bgClr="00000000"/>
          </ext>
        </extLst>
      </patternFill>
    </fill>
    <fill>
      <patternFill patternType="solid">
        <fgColor rgb="FF010180"/>
        <bgColor rgb="FFFFFFFF"/>
        <extLst>
          <ext uri="smNativeData">
            <pm:shade xmlns:pm="smNativeData" id="1780841053" type="1" fgLvl="50" fgClr="000000FF" bgLvl="50" bgClr="00000000"/>
          </ext>
        </extLst>
      </patternFill>
    </fill>
    <fill>
      <patternFill patternType="solid">
        <fgColor rgb="FF010180"/>
        <bgColor rgb="FFFFFFFF"/>
        <extLst>
          <ext uri="smNativeData">
            <pm:shade xmlns:pm="smNativeData" id="1780841053" type="1" fgLvl="50" fgClr="000000FF" bgLvl="50" bgClr="00000000"/>
          </ext>
        </extLst>
      </patternFill>
    </fill>
    <fill>
      <patternFill patternType="solid">
        <fgColor rgb="FF00FFFF"/>
        <bgColor rgb="FFFFFFFF"/>
        <extLst>
          <ext uri="smNativeData">
            <pm:shade xmlns:pm="smNativeData" id="1780841053" type="1" fgLvl="100" fgClr="0000FFFF" bgLvl="0" bgClr="00000000"/>
          </ext>
        </extLst>
      </patternFill>
    </fill>
    <fill>
      <patternFill patternType="solid">
        <fgColor rgb="FF919191"/>
        <bgColor rgb="FFFFFFFF"/>
        <extLst>
          <ext uri="smNativeData">
            <pm:shade xmlns:pm="smNativeData" id="1780841053" type="1" fgLvl="57" fgClr="00FFFFFF" bgLvl="43" bgClr="00000000"/>
          </ext>
        </extLst>
      </patternFill>
    </fill>
    <fill>
      <patternFill patternType="solid">
        <fgColor rgb="FF9EFFFF"/>
        <bgColor rgb="FFFFFFFF"/>
        <extLst>
          <ext uri="smNativeData">
            <pm:shade xmlns:pm="smNativeData" id="1780841053" type="1" fgLvl="38" fgClr="0000FFFF" bgLvl="62" bgClr="00FFFFFF"/>
          </ext>
        </extLst>
      </patternFill>
    </fill>
    <fill>
      <patternFill patternType="solid">
        <fgColor rgb="FF9EFFFF"/>
        <bgColor rgb="FFFFFFFF"/>
        <extLst>
          <ext uri="smNativeData">
            <pm:shade xmlns:pm="smNativeData" id="1780841053" type="1" fgLvl="38" fgClr="0000FFFF" bgLvl="62" bgClr="00FFFFFF"/>
          </ext>
        </extLst>
      </patternFill>
    </fill>
    <fill>
      <patternFill patternType="solid">
        <fgColor rgb="FF9EFFFF"/>
        <bgColor rgb="FFFFFFFF"/>
        <extLst>
          <ext uri="smNativeData">
            <pm:shade xmlns:pm="smNativeData" id="1780841053" type="1" fgLvl="38" fgClr="0000FFFF" bgLvl="62" bgClr="00FFFFFF"/>
          </ext>
        </extLst>
      </patternFill>
    </fill>
    <fill>
      <patternFill patternType="solid">
        <fgColor rgb="FFFF9E9E"/>
        <bgColor rgb="FFFFFFFF"/>
        <extLst>
          <ext uri="smNativeData">
            <pm:shade xmlns:pm="smNativeData" id="1780841053" type="1" fgLvl="38" fgClr="00FF0000" bgLvl="62" bgClr="00FFFFFF"/>
          </ext>
        </extLst>
      </patternFill>
    </fill>
    <fill>
      <patternFill patternType="solid">
        <fgColor rgb="FFFF9E9E"/>
        <bgColor rgb="FFFFFFFF"/>
        <extLst>
          <ext uri="smNativeData">
            <pm:shade xmlns:pm="smNativeData" id="1780841053" type="1" fgLvl="38" fgClr="00FF0000" bgLvl="62" bgClr="00FFFFFF"/>
          </ext>
        </extLst>
      </patternFill>
    </fill>
    <fill>
      <patternFill patternType="solid">
        <fgColor rgb="FF00007F"/>
        <bgColor rgb="FFFFFFFF"/>
        <extLst>
          <ext uri="smNativeData">
            <pm:shade xmlns:pm="smNativeData" id="1780841053" type="1" fgLvl="100" fgClr="0000007F" bgLvl="0" bgClr="00FFFFFF"/>
          </ext>
        </extLst>
      </patternFill>
    </fill>
    <fill>
      <patternFill patternType="solid">
        <fgColor rgb="FF5CFFFF"/>
        <bgColor rgb="FFFFFFFF"/>
        <extLst>
          <ext uri="smNativeData">
            <pm:shade xmlns:pm="smNativeData" id="1780841053" type="1" fgLvl="64" fgClr="0000FFFF" bgLvl="36" bgClr="00FFFFFF"/>
          </ext>
        </extLst>
      </patternFill>
    </fill>
    <fill>
      <patternFill patternType="solid">
        <fgColor rgb="FFB3B3B3"/>
        <bgColor rgb="FFFFFFFF"/>
        <extLst>
          <ext uri="smNativeData">
            <pm:shade xmlns:pm="smNativeData" id="1780841053" type="1" fgLvl="100" fgClr="00B3B3B3" bgLvl="0" bgClr="00FFFFFF"/>
          </ext>
        </extLst>
      </patternFill>
    </fill>
    <fill>
      <patternFill patternType="none"/>
    </fill>
    <fill>
      <patternFill patternType="solid">
        <fgColor rgb="FFDCE6F1"/>
        <bgColor rgb="FFFFFFFF"/>
        <extLst>
          <ext uri="smNativeData">
            <pm:shade xmlns:pm="smNativeData" id="1780841053" type="1" fgLvl="100" fgClr="00DCE6F1" bgLvl="100" bgClr="00DCE6F1"/>
          </ext>
        </extLst>
      </patternFill>
    </fill>
    <fill>
      <patternFill patternType="solid">
        <fgColor rgb="FFD8D8D8"/>
        <bgColor rgb="FFFFFFFF"/>
        <extLst>
          <ext uri="smNativeData">
            <pm:shade xmlns:pm="smNativeData" id="1780841053" type="1" fgLvl="100" fgClr="00D8D8D8" bgLvl="100" bgClr="00D8D8D8"/>
          </ext>
        </extLst>
      </patternFill>
    </fill>
    <fill>
      <patternFill patternType="solid">
        <fgColor rgb="FFDCE6F1"/>
        <bgColor rgb="FFFFFFFF"/>
        <extLst>
          <ext uri="smNativeData">
            <pm:shade xmlns:pm="smNativeData" id="1780841053" type="1" fgLvl="100" fgClr="00DCE6F1" bgLvl="100" bgClr="00DCE6F1"/>
          </ext>
        </extLst>
      </patternFill>
    </fill>
    <fill>
      <patternFill patternType="solid">
        <fgColor rgb="FFD8D8D8"/>
        <bgColor rgb="FFFFFFFF"/>
        <extLst>
          <ext uri="smNativeData">
            <pm:shade xmlns:pm="smNativeData" id="1780841053" type="1" fgLvl="100" fgClr="00D8D8D8" bgLvl="100" bgClr="00D8D8D8"/>
          </ext>
        </extLst>
      </patternFill>
    </fill>
    <fill>
      <patternFill patternType="none"/>
    </fill>
    <fill>
      <patternFill patternType="solid">
        <fgColor rgb="FFDCE6F1"/>
        <bgColor rgb="FFFFFFFF"/>
        <extLst>
          <ext uri="smNativeData">
            <pm:shade xmlns:pm="smNativeData" id="1780841053" type="1" fgLvl="100" fgClr="00DCE6F1" bgLvl="100" bgClr="00DCE6F1"/>
          </ext>
        </extLst>
      </patternFill>
    </fill>
    <fill>
      <patternFill patternType="solid">
        <fgColor rgb="FFDAEEF3"/>
        <bgColor rgb="FFFFFFFF"/>
        <extLst>
          <ext uri="smNativeData">
            <pm:shade xmlns:pm="smNativeData" id="1780841053" type="1" fgLvl="100" fgClr="00DAEEF3" bgLvl="100" bgClr="00DAEEF3"/>
          </ext>
        </extLst>
      </patternFill>
    </fill>
    <fill>
      <patternFill patternType="solid">
        <fgColor rgb="FFD8D8D8"/>
        <bgColor rgb="FFFFFFFF"/>
        <extLst>
          <ext uri="smNativeData">
            <pm:shade xmlns:pm="smNativeData" id="1780841053" type="1" fgLvl="100" fgClr="00D8D8D8" bgLvl="100" bgClr="00D8D8D8"/>
          </ext>
        </extLst>
      </patternFill>
    </fill>
    <fill>
      <patternFill patternType="solid">
        <fgColor rgb="FFDAEEF3"/>
        <bgColor rgb="FFFFFFFF"/>
        <extLst>
          <ext uri="smNativeData">
            <pm:shade xmlns:pm="smNativeData" id="1780841053" type="1" fgLvl="100" fgClr="00DAEEF3" bgLvl="100" bgClr="00DAEEF3"/>
          </ext>
        </extLst>
      </patternFill>
    </fill>
    <fill>
      <patternFill patternType="none"/>
    </fill>
    <fill>
      <patternFill patternType="solid">
        <fgColor rgb="FFDAEEF3"/>
        <bgColor rgb="FFFFFFFF"/>
        <extLst>
          <ext uri="smNativeData">
            <pm:shade xmlns:pm="smNativeData" id="1780841053" type="1" fgLvl="100" fgClr="00DAEEF3" bgLvl="100" bgClr="00DAEEF3"/>
          </ext>
        </extLst>
      </patternFill>
    </fill>
    <fill>
      <patternFill patternType="solid">
        <fgColor rgb="FFD9D9D9"/>
        <bgColor rgb="FFFFFFFF"/>
        <extLst>
          <ext uri="smNativeData">
            <pm:shade xmlns:pm="smNativeData" id="1780841053" type="1" fgLvl="85" fgClr="00FFFFFF" bgLvl="15" bgClr="00000000"/>
          </ext>
        </extLst>
      </patternFill>
    </fill>
    <fill>
      <patternFill patternType="solid">
        <fgColor rgb="FFFF9EFF"/>
        <bgColor rgb="FFFFFFFF"/>
        <extLst>
          <ext uri="smNativeData">
            <pm:shade xmlns:pm="smNativeData" id="1780841053" type="1" fgLvl="38" fgClr="00FF00FF" bgLvl="62" bgClr="00FFFFFF"/>
          </ext>
        </extLst>
      </patternFill>
    </fill>
    <fill>
      <patternFill patternType="solid">
        <fgColor rgb="FFFFFFFF"/>
        <bgColor rgb="FFFFFFFF"/>
        <extLst>
          <ext uri="smNativeData">
            <pm:shade xmlns:pm="smNativeData" id="1780841053" type="1" fgLvl="100" fgClr="00FFFFFF" bgLvl="100" bgClr="00000000"/>
          </ext>
        </extLst>
      </patternFill>
    </fill>
    <fill>
      <patternFill patternType="solid">
        <fgColor rgb="FF9EFF9E"/>
        <bgColor rgb="FFFFFFFF"/>
        <extLst>
          <ext uri="smNativeData">
            <pm:shade xmlns:pm="smNativeData" id="1780841053" type="1" fgLvl="38" fgClr="0000FF00" bgLvl="62" bgClr="00FFFFFF"/>
          </ext>
        </extLst>
      </patternFill>
    </fill>
    <fill>
      <patternFill patternType="solid">
        <fgColor rgb="FFFF9EFF"/>
        <bgColor rgb="FFFFFFFF"/>
        <extLst>
          <ext uri="smNativeData">
            <pm:shade xmlns:pm="smNativeData" id="1780841053" type="1" fgLvl="38" fgClr="00FF00FF" bgLvl="62" bgClr="00FFFFFF"/>
          </ext>
        </extLst>
      </patternFill>
    </fill>
    <fill>
      <patternFill patternType="solid">
        <fgColor rgb="FF9EFFFF"/>
        <bgColor rgb="FFFFFFFF"/>
        <extLst>
          <ext uri="smNativeData">
            <pm:shade xmlns:pm="smNativeData" id="1780841053" type="1" fgLvl="38" fgClr="0000FFFF" bgLvl="62" bgClr="00FFFFFF"/>
          </ext>
        </extLst>
      </patternFill>
    </fill>
    <fill>
      <patternFill patternType="solid">
        <fgColor rgb="FFF79646"/>
        <bgColor rgb="FFFFFFFF"/>
        <extLst>
          <ext uri="smNativeData">
            <pm:shade xmlns:pm="smNativeData" id="1780841053" type="1" fgLvl="100" fgClr="00F79646" bgLvl="0" bgClr="00FFFFFF"/>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010180"/>
        <bgColor rgb="FFFFFFFF"/>
        <extLst>
          <ext uri="smNativeData">
            <pm:shade xmlns:pm="smNativeData" id="1780841053" type="1" fgLvl="50" fgClr="000000FF" bgLvl="50" bgClr="00000000"/>
          </ext>
        </extLst>
      </patternFill>
    </fill>
    <fill>
      <patternFill patternType="solid">
        <fgColor rgb="FF00FFFF"/>
        <bgColor rgb="FFFFFFFF"/>
        <extLst>
          <ext uri="smNativeData">
            <pm:shade xmlns:pm="smNativeData" id="1780841053" type="1" fgLvl="100" fgClr="0000FFFF" bgLvl="0" bgClr="00000000"/>
          </ext>
        </extLst>
      </patternFill>
    </fill>
    <fill>
      <patternFill patternType="solid">
        <fgColor rgb="FF800101"/>
        <bgColor rgb="FFFFFFFF"/>
        <extLst>
          <ext uri="smNativeData">
            <pm:shade xmlns:pm="smNativeData" id="1780841053" type="1" fgLvl="50" fgClr="00FF0000" bgLvl="50" bgClr="00000000"/>
          </ext>
        </extLst>
      </patternFill>
    </fill>
    <fill>
      <patternFill patternType="solid">
        <fgColor rgb="FF74420A"/>
        <bgColor rgb="FFFFFFFF"/>
        <extLst>
          <ext uri="smNativeData">
            <pm:shade xmlns:pm="smNativeData" id="1780841053" type="1" fgLvl="0" fgClr="00F79646" bgLvl="100" bgClr="0074420A"/>
          </ext>
        </extLst>
      </patternFill>
    </fill>
    <fill>
      <patternFill patternType="solid">
        <fgColor rgb="FF010180"/>
        <bgColor rgb="FFFFFFFF"/>
        <extLst>
          <ext uri="smNativeData">
            <pm:shade xmlns:pm="smNativeData" id="1780841053" type="1" fgLvl="50" fgClr="000000FF" bgLvl="50" bgClr="00000000"/>
          </ext>
        </extLst>
      </patternFill>
    </fill>
    <fill>
      <patternFill patternType="solid">
        <fgColor rgb="FF00FFFF"/>
        <bgColor rgb="FFFFFFFF"/>
        <extLst>
          <ext uri="smNativeData">
            <pm:shade xmlns:pm="smNativeData" id="1780841053" type="1" fgLvl="100" fgClr="0000FFFF" bgLvl="0" bgClr="00000000"/>
          </ext>
        </extLst>
      </patternFill>
    </fill>
    <fill>
      <patternFill patternType="solid">
        <fgColor rgb="FF919191"/>
        <bgColor rgb="FFFFFFFF"/>
        <extLst>
          <ext uri="smNativeData">
            <pm:shade xmlns:pm="smNativeData" id="1780841053" type="1" fgLvl="57" fgClr="00FFFFFF" bgLvl="43" bgClr="00000000"/>
          </ext>
        </extLst>
      </patternFill>
    </fill>
    <fill>
      <patternFill patternType="solid">
        <fgColor rgb="FF010180"/>
        <bgColor rgb="FFFFFFFF"/>
        <extLst>
          <ext uri="smNativeData">
            <pm:shade xmlns:pm="smNativeData" id="1780841053" type="1" fgLvl="50" fgClr="000000FF" bgLvl="50" bgClr="00000000"/>
          </ext>
        </extLst>
      </patternFill>
    </fill>
    <fill>
      <patternFill patternType="solid">
        <fgColor rgb="FF00FFFF"/>
        <bgColor rgb="FFFFFFFF"/>
        <extLst>
          <ext uri="smNativeData">
            <pm:shade xmlns:pm="smNativeData" id="1780841053" type="1" fgLvl="100" fgClr="0000FFFF" bgLvl="0" bgClr="00000000"/>
          </ext>
        </extLst>
      </patternFill>
    </fill>
    <fill>
      <patternFill patternType="solid">
        <fgColor rgb="FF919191"/>
        <bgColor rgb="FFFFFFFF"/>
        <extLst>
          <ext uri="smNativeData">
            <pm:shade xmlns:pm="smNativeData" id="1780841053" type="1" fgLvl="57" fgClr="00FFFFFF" bgLvl="43" bgClr="00000000"/>
          </ext>
        </extLst>
      </patternFill>
    </fill>
    <fill>
      <patternFill patternType="solid">
        <fgColor rgb="FF800101"/>
        <bgColor rgb="FFFFFFFF"/>
        <extLst>
          <ext uri="smNativeData">
            <pm:shade xmlns:pm="smNativeData" id="1780841053" type="1" fgLvl="50" fgClr="00FF0000" bgLvl="50" bgClr="00000000"/>
          </ext>
        </extLst>
      </patternFill>
    </fill>
    <fill>
      <patternFill patternType="solid">
        <fgColor rgb="FF600060"/>
        <bgColor rgb="FFFFFFFF"/>
        <extLst>
          <ext uri="smNativeData">
            <pm:shade xmlns:pm="smNativeData" id="1780841053" type="1" fgLvl="100" fgClr="00600060" bgLvl="0" bgClr="00FFFFFF"/>
          </ext>
        </extLst>
      </patternFill>
    </fill>
    <fill>
      <patternFill patternType="solid">
        <fgColor rgb="FF74420A"/>
        <bgColor rgb="FFFFFFFF"/>
        <extLst>
          <ext uri="smNativeData">
            <pm:shade xmlns:pm="smNativeData" id="1780841053" type="1" fgLvl="0" fgClr="00F79646" bgLvl="100" bgClr="0074420A"/>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9EFF9E"/>
        <bgColor rgb="FFFFFFFF"/>
        <extLst>
          <ext uri="smNativeData">
            <pm:shade xmlns:pm="smNativeData" id="1780841053" type="1" fgLvl="38" fgClr="0000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9EFF"/>
        <bgColor rgb="FFFFFFFF"/>
        <extLst>
          <ext uri="smNativeData">
            <pm:shade xmlns:pm="smNativeData" id="1780841053" type="1" fgLvl="38" fgClr="00FF00FF" bgLvl="62" bgClr="00FFFFFF"/>
          </ext>
        </extLst>
      </patternFill>
    </fill>
    <fill>
      <patternFill patternType="solid">
        <fgColor rgb="FFFF9E9E"/>
        <bgColor rgb="FFFFFFFF"/>
        <extLst>
          <ext uri="smNativeData">
            <pm:shade xmlns:pm="smNativeData" id="1780841053" type="1" fgLvl="38" fgClr="00FF0000" bgLvl="62" bgClr="00FFFFFF"/>
          </ext>
        </extLst>
      </patternFill>
    </fill>
    <fill>
      <patternFill patternType="solid">
        <fgColor rgb="FFF79646"/>
        <bgColor rgb="FFFFFFFF"/>
        <extLst>
          <ext uri="smNativeData">
            <pm:shade xmlns:pm="smNativeData" id="1780841053" type="1" fgLvl="100" fgClr="00F79646" bgLvl="0" bgClr="00FFFFFF"/>
          </ext>
        </extLst>
      </patternFill>
    </fill>
    <fill>
      <patternFill patternType="solid">
        <fgColor rgb="FF9EFF9E"/>
        <bgColor rgb="FFFFFFFF"/>
        <extLst>
          <ext uri="smNativeData">
            <pm:shade xmlns:pm="smNativeData" id="1780841053" type="1" fgLvl="38" fgClr="0000FF00" bgLvl="62" bgClr="00FFFFFF"/>
          </ext>
        </extLst>
      </patternFill>
    </fill>
    <fill>
      <patternFill patternType="solid">
        <fgColor rgb="FFFFFF9E"/>
        <bgColor rgb="FFFFFFFF"/>
        <extLst>
          <ext uri="smNativeData">
            <pm:shade xmlns:pm="smNativeData" id="1780841053" type="1" fgLvl="38" fgClr="00FFFF00" bgLvl="62" bgClr="00FFFFFF"/>
          </ext>
        </extLst>
      </patternFill>
    </fill>
    <fill>
      <patternFill patternType="solid">
        <fgColor rgb="FFFF9EFF"/>
        <bgColor rgb="FFFFFFFF"/>
        <extLst>
          <ext uri="smNativeData">
            <pm:shade xmlns:pm="smNativeData" id="1780841053" type="1" fgLvl="38" fgClr="00FF00FF" bgLvl="62" bgClr="00FFFFFF"/>
          </ext>
        </extLst>
      </patternFill>
    </fill>
    <fill>
      <patternFill patternType="solid">
        <fgColor rgb="FFFF9E9E"/>
        <bgColor rgb="FFFFFFFF"/>
        <extLst>
          <ext uri="smNativeData">
            <pm:shade xmlns:pm="smNativeData" id="1780841053" type="1" fgLvl="38" fgClr="00FF0000" bgLvl="62" bgClr="00FFFFFF"/>
          </ext>
        </extLst>
      </patternFill>
    </fill>
    <fill>
      <patternFill patternType="solid">
        <fgColor rgb="FFF79646"/>
        <bgColor rgb="FFFFFFFF"/>
        <extLst>
          <ext uri="smNativeData">
            <pm:shade xmlns:pm="smNativeData" id="1780841053" type="1" fgLvl="100" fgClr="00F79646" bgLvl="0" bgClr="00FFFFFF"/>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9EFF9E"/>
        <bgColor rgb="FFFFFFFF"/>
        <extLst>
          <ext uri="smNativeData">
            <pm:shade xmlns:pm="smNativeData" id="1780841053" type="1" fgLvl="38" fgClr="0000FF00" bgLvl="62" bgClr="00FFFFFF"/>
          </ext>
        </extLst>
      </patternFill>
    </fill>
    <fill>
      <patternFill patternType="solid">
        <fgColor rgb="FFFF9EFF"/>
        <bgColor rgb="FFFFFFFF"/>
        <extLst>
          <ext uri="smNativeData">
            <pm:shade xmlns:pm="smNativeData" id="1780841053" type="1" fgLvl="38" fgClr="00FF00FF" bgLvl="62" bgClr="00FFFFFF"/>
          </ext>
        </extLst>
      </patternFill>
    </fill>
    <fill>
      <patternFill patternType="solid">
        <fgColor rgb="FFFF9E9E"/>
        <bgColor rgb="FFFFFFFF"/>
        <extLst>
          <ext uri="smNativeData">
            <pm:shade xmlns:pm="smNativeData" id="1780841053" type="1" fgLvl="38" fgClr="00FF0000" bgLvl="62" bgClr="00FFFFFF"/>
          </ext>
        </extLst>
      </patternFill>
    </fill>
    <fill>
      <patternFill patternType="solid">
        <fgColor rgb="FFF79646"/>
        <bgColor rgb="FFFFFFFF"/>
        <extLst>
          <ext uri="smNativeData">
            <pm:shade xmlns:pm="smNativeData" id="1780841053" type="1" fgLvl="100" fgClr="00F79646" bgLvl="0" bgClr="00FFFFFF"/>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F79646"/>
        <bgColor rgb="FFFFFFFF"/>
        <extLst>
          <ext uri="smNativeData">
            <pm:shade xmlns:pm="smNativeData" id="1780841053" type="1" fgLvl="100" fgClr="00F79646" bgLvl="0" bgClr="00FFFFFF"/>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9E9EFF"/>
        <bgColor rgb="FFFFFFFF"/>
        <extLst>
          <ext uri="smNativeData">
            <pm:shade xmlns:pm="smNativeData" id="1780841053" type="1" fgLvl="38" fgClr="000000FF" bgLvl="62" bgClr="00FFFFFF"/>
          </ext>
        </extLst>
      </patternFill>
    </fill>
    <fill>
      <patternFill patternType="solid">
        <fgColor rgb="FF9EFF9E"/>
        <bgColor rgb="FFFFFFFF"/>
        <extLst>
          <ext uri="smNativeData">
            <pm:shade xmlns:pm="smNativeData" id="1780841053" type="1" fgLvl="38" fgClr="0000FF00" bgLvl="62" bgClr="00FFFFFF"/>
          </ext>
        </extLst>
      </patternFill>
    </fill>
    <fill>
      <patternFill patternType="solid">
        <fgColor rgb="FFFF9EFF"/>
        <bgColor rgb="FFFFFFFF"/>
        <extLst>
          <ext uri="smNativeData">
            <pm:shade xmlns:pm="smNativeData" id="1780841053" type="1" fgLvl="38" fgClr="00FF00FF" bgLvl="62" bgClr="00FFFFFF"/>
          </ext>
        </extLst>
      </patternFill>
    </fill>
    <fill>
      <patternFill patternType="solid">
        <fgColor rgb="FFF79646"/>
        <bgColor rgb="FFFFFFFF"/>
        <extLst>
          <ext uri="smNativeData">
            <pm:shade xmlns:pm="smNativeData" id="1780841053" type="1" fgLvl="100" fgClr="00F79646" bgLvl="0" bgClr="00FFFFFF"/>
          </ext>
        </extLst>
      </patternFill>
    </fill>
  </fills>
  <borders count="276">
    <border>
      <left style="none">
        <color rgb="FF000000"/>
      </left>
      <right style="none">
        <color rgb="FF000000"/>
      </right>
      <top style="none">
        <color rgb="FF000000"/>
      </top>
      <bottom style="none">
        <color rgb="FF000000"/>
      </bottom>
      <extLst>
        <ext uri="smNativeData">
          <pm:border xmlns:pm="smNativeData" id="1780841053"/>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ck">
        <color rgb="FF000000"/>
      </left>
      <right style="thin">
        <color rgb="FF000000"/>
      </right>
      <top style="thick">
        <color rgb="FF000000"/>
      </top>
      <bottom style="thick">
        <color rgb="FF000000"/>
      </bottom>
      <extLst>
        <ext uri="smNativeData">
          <pm:border xmlns:pm="smNativeData" id="1780841053">
            <pm:line position="top" type="1" style="0" width="40" dist="20" width2="20" rgb="000000"/>
            <pm:line position="bottom" type="1" style="0" width="40" dist="20" width2="20" rgb="000000"/>
            <pm:line position="left" type="1" style="0" width="40" dist="20" width2="20" rgb="000000"/>
            <pm:line position="right" type="1" style="0" width="20" dist="20" width2="20" rgb="000000"/>
          </pm:border>
        </ext>
      </extLst>
    </border>
    <border>
      <left style="thin">
        <color rgb="FF000000"/>
      </left>
      <right style="thin">
        <color rgb="FF000000"/>
      </right>
      <top style="thick">
        <color rgb="FF000000"/>
      </top>
      <bottom style="thick">
        <color rgb="FF000000"/>
      </bottom>
      <extLst>
        <ext uri="smNativeData">
          <pm:border xmlns:pm="smNativeData" id="1780841053">
            <pm:line position="top" type="1" style="0" width="40" dist="20" width2="20" rgb="000000"/>
            <pm:line position="bottom" type="1" style="0" width="40" dist="20" width2="20" rgb="000000"/>
            <pm:line position="left" type="1" style="0" width="20" dist="20" width2="20" rgb="000000"/>
            <pm:line position="right" type="1" style="0" width="20" dist="20" width2="20" rgb="000000"/>
          </pm:border>
        </ext>
      </extLst>
    </border>
    <border>
      <left style="thin">
        <color rgb="FF000000"/>
      </left>
      <right style="thick">
        <color rgb="FF000000"/>
      </right>
      <top style="thick">
        <color rgb="FF000000"/>
      </top>
      <bottom style="thick">
        <color rgb="FF000000"/>
      </bottom>
      <extLst>
        <ext uri="smNativeData">
          <pm:border xmlns:pm="smNativeData" id="1780841053">
            <pm:line position="top" type="1" style="0" width="40" dist="20" width2="20" rgb="000000"/>
            <pm:line position="bottom" type="1" style="0" width="40" dist="20" width2="20" rgb="000000"/>
            <pm:line position="left" type="1" style="0" width="20" dist="20" width2="20" rgb="000000"/>
            <pm:line position="right" type="1" style="0" width="40" dist="20" width2="20" rgb="000000"/>
          </pm:border>
        </ext>
      </extLst>
    </border>
    <border>
      <left style="thick">
        <color rgb="FF000000"/>
      </left>
      <right style="thin">
        <color rgb="FF000000"/>
      </right>
      <top style="none">
        <color rgb="FF000000"/>
      </top>
      <bottom style="thin">
        <color rgb="FF000000"/>
      </bottom>
      <extLst>
        <ext uri="smNativeData">
          <pm:border xmlns:pm="smNativeData" id="1780841053">
            <pm:line position="bottom" type="1" style="0" width="20" dist="20" width2="20" rgb="000000"/>
            <pm:line position="left" type="1" style="0" width="4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line position="right" type="1" style="0" width="2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ck">
        <color rgb="FF000000"/>
      </left>
      <right style="none">
        <color rgb="FF000000"/>
      </right>
      <top style="thick">
        <color rgb="FF000000"/>
      </top>
      <bottom style="thick">
        <color rgb="FF000000"/>
      </bottom>
      <extLst>
        <ext uri="smNativeData">
          <pm:border xmlns:pm="smNativeData" id="1780841053">
            <pm:line position="top" type="1" style="0" width="40" dist="20" width2="20" rgb="000000"/>
            <pm:line position="bottom" type="1" style="0" width="40" dist="20" width2="20" rgb="000000"/>
            <pm:line position="left" type="1" style="0" width="40" dist="20" width2="20" rgb="000000"/>
          </pm:border>
        </ext>
      </extLst>
    </border>
    <border>
      <left style="none">
        <color rgb="FF000000"/>
      </left>
      <right style="none">
        <color rgb="FF000000"/>
      </right>
      <top style="thick">
        <color rgb="FF000000"/>
      </top>
      <bottom style="thick">
        <color rgb="FF000000"/>
      </bottom>
      <extLst>
        <ext uri="smNativeData">
          <pm:border xmlns:pm="smNativeData" id="1780841053">
            <pm:line position="top" type="1" style="0" width="40" dist="20" width2="20" rgb="000000"/>
            <pm:line position="bottom" type="1" style="0" width="40" dist="20" width2="20" rgb="000000"/>
          </pm:border>
        </ext>
      </extLst>
    </border>
    <border>
      <left style="none">
        <color rgb="FF000000"/>
      </left>
      <right style="thick">
        <color rgb="FF000000"/>
      </right>
      <top style="thick">
        <color rgb="FF000000"/>
      </top>
      <bottom style="thick">
        <color rgb="FF000000"/>
      </bottom>
      <extLst>
        <ext uri="smNativeData">
          <pm:border xmlns:pm="smNativeData" id="1780841053">
            <pm:line position="top" type="1" style="0" width="40" dist="20" width2="20" rgb="000000"/>
            <pm:line position="bottom" type="1" style="0" width="40" dist="20" width2="20" rgb="000000"/>
            <pm:line position="right" type="1" style="0" width="40" dist="20" width2="20" rgb="000000"/>
          </pm:border>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thin">
        <color rgb="FF000000"/>
      </left>
      <right style="thin">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border>
        </ext>
      </extLst>
    </border>
    <border>
      <left style="none">
        <color rgb="FF000000"/>
      </left>
      <right style="thin">
        <color rgb="FF000000"/>
      </right>
      <top style="none">
        <color rgb="FF000000"/>
      </top>
      <bottom style="thin">
        <color rgb="FF000000"/>
      </bottom>
      <extLst>
        <ext uri="smNativeData">
          <pm:border xmlns:pm="smNativeData" id="1780841053">
            <pm:line position="bottom"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border>
        </ext>
      </extLst>
    </border>
    <border>
      <left style="none">
        <color rgb="FF000000"/>
      </left>
      <right style="none">
        <color rgb="FF000000"/>
      </right>
      <top style="thin">
        <color rgb="FF000000"/>
      </top>
      <bottom style="none">
        <color rgb="FF000000"/>
      </bottom>
      <extLst>
        <ext uri="smNativeData">
          <pm:border xmlns:pm="smNativeData" id="1780841053">
            <pm:line position="top"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border>
        </ext>
      </extLst>
    </border>
    <border>
      <left style="none">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border>
        </ext>
      </extLst>
    </border>
    <border>
      <left style="thin">
        <color rgb="FF000000"/>
      </left>
      <right style="none">
        <color rgb="FF000000"/>
      </right>
      <top style="none">
        <color rgb="FF000000"/>
      </top>
      <bottom style="none">
        <color rgb="FF000000"/>
      </bottom>
      <extLst>
        <ext uri="smNativeData">
          <pm:border xmlns:pm="smNativeData" id="1780841053">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border>
        </ext>
      </extLst>
    </border>
    <border>
      <left style="thick">
        <color rgb="FF000000"/>
      </left>
      <right style="thin">
        <color rgb="FF000000"/>
      </right>
      <top style="thick">
        <color rgb="FF000000"/>
      </top>
      <bottom style="thin">
        <color rgb="FF000000"/>
      </bottom>
      <extLst>
        <ext uri="smNativeData">
          <pm:border xmlns:pm="smNativeData" id="1780841053">
            <pm:line position="top" type="1" style="0" width="40" dist="20" width2="20" rgb="000000"/>
            <pm:line position="bottom" type="1" style="0" width="20" dist="20" width2="20" rgb="000000"/>
            <pm:line position="left" type="1" style="0" width="40" dist="20" width2="20" rgb="000000"/>
            <pm:line position="right" type="1" style="0" width="20" dist="20" width2="20" rgb="000000"/>
          </pm:border>
        </ext>
      </extLst>
    </border>
    <border>
      <left style="thin">
        <color rgb="FF000000"/>
      </left>
      <right style="thin">
        <color rgb="FF000000"/>
      </right>
      <top style="thick">
        <color rgb="FF000000"/>
      </top>
      <bottom style="thin">
        <color rgb="FF000000"/>
      </bottom>
      <extLst>
        <ext uri="smNativeData">
          <pm:border xmlns:pm="smNativeData" id="1780841053">
            <pm:line position="top" type="1" style="0" width="4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ck">
        <color rgb="FF000000"/>
      </top>
      <bottom style="thin">
        <color rgb="FF000000"/>
      </bottom>
      <extLst>
        <ext uri="smNativeData">
          <pm:border xmlns:pm="smNativeData" id="1780841053">
            <pm:line position="top" type="1" style="0" width="4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ck">
        <color rgb="FF000000"/>
      </right>
      <top style="thick">
        <color rgb="FF000000"/>
      </top>
      <bottom style="thin">
        <color rgb="FF000000"/>
      </bottom>
      <extLst>
        <ext uri="smNativeData">
          <pm:border xmlns:pm="smNativeData" id="1780841053">
            <pm:line position="top" type="1" style="0" width="40" dist="20" width2="20" rgb="000000"/>
            <pm:line position="bottom" type="1" style="0" width="20" dist="20" width2="20" rgb="000000"/>
            <pm:line position="left" type="1" style="0" width="20" dist="20" width2="20" rgb="000000"/>
            <pm:line position="right" type="1" style="0" width="40" dist="20" width2="20" rgb="000000"/>
          </pm:border>
        </ext>
      </extLst>
    </border>
    <border>
      <left style="thick">
        <color rgb="FF000000"/>
      </left>
      <right style="none">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border>
        </ext>
      </extLst>
    </border>
    <border>
      <left style="none">
        <color rgb="FF000000"/>
      </left>
      <right style="thick">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right" type="1" style="0" width="4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thin">
        <color rgb="FF000000"/>
      </left>
      <right style="thick">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4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thick">
        <color rgb="FF000000"/>
      </left>
      <right style="none">
        <color rgb="FF000000"/>
      </right>
      <top style="thin">
        <color rgb="FF000000"/>
      </top>
      <bottom style="none">
        <color rgb="FF000000"/>
      </bottom>
      <extLst>
        <ext uri="smNativeData">
          <pm:border xmlns:pm="smNativeData" id="1780841053">
            <pm:line position="top" type="1" style="0" width="20" dist="20" width2="20" rgb="000000"/>
            <pm:line position="left" type="1" style="0" width="40" dist="20" width2="20" rgb="000000"/>
          </pm:border>
        </ext>
      </extLst>
    </border>
    <border>
      <left style="none">
        <color rgb="FF000000"/>
      </left>
      <right style="thick">
        <color rgb="FF000000"/>
      </right>
      <top style="thin">
        <color rgb="FF000000"/>
      </top>
      <bottom style="none">
        <color rgb="FF000000"/>
      </bottom>
      <extLst>
        <ext uri="smNativeData">
          <pm:border xmlns:pm="smNativeData" id="1780841053">
            <pm:line position="top" type="1" style="0" width="20" dist="20" width2="20" rgb="000000"/>
            <pm:line position="right" type="1" style="0" width="40" dist="20" width2="20" rgb="000000"/>
          </pm:border>
        </ext>
      </extLst>
    </border>
    <border>
      <left style="thick">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line position="left" type="1" style="0" width="40" dist="20" width2="20" rgb="000000"/>
          </pm:border>
        </ext>
      </extLst>
    </border>
    <border>
      <left style="none">
        <color rgb="FF000000"/>
      </left>
      <right style="thick">
        <color rgb="FF000000"/>
      </right>
      <top style="none">
        <color rgb="FF000000"/>
      </top>
      <bottom style="none">
        <color rgb="FF000000"/>
      </bottom>
      <extLst>
        <ext uri="smNativeData">
          <pm:border xmlns:pm="smNativeData" id="1780841053">
            <pm:line position="right" type="1" style="0" width="4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thick">
        <color rgb="FF000000"/>
      </left>
      <right style="thin">
        <color rgb="FF000000"/>
      </right>
      <top style="thin">
        <color rgb="FF000000"/>
      </top>
      <bottom style="thick">
        <color rgb="FF000000"/>
      </bottom>
      <extLst>
        <ext uri="smNativeData">
          <pm:border xmlns:pm="smNativeData" id="1780841053">
            <pm:line position="top" type="1" style="0" width="20" dist="20" width2="20" rgb="000000"/>
            <pm:line position="bottom" type="1" style="0" width="40" dist="20" width2="20" rgb="000000"/>
            <pm:line position="left" type="1" style="0" width="40" dist="20" width2="20" rgb="000000"/>
            <pm:line position="right" type="1" style="0" width="20" dist="20" width2="20" rgb="000000"/>
          </pm:border>
        </ext>
      </extLst>
    </border>
    <border>
      <left style="thin">
        <color rgb="FF000000"/>
      </left>
      <right style="thin">
        <color rgb="FF000000"/>
      </right>
      <top style="thin">
        <color rgb="FF000000"/>
      </top>
      <bottom style="thick">
        <color rgb="FF000000"/>
      </bottom>
      <extLst>
        <ext uri="smNativeData">
          <pm:border xmlns:pm="smNativeData" id="1780841053">
            <pm:line position="top" type="1" style="0" width="20" dist="20" width2="20" rgb="000000"/>
            <pm:line position="bottom" type="1" style="0" width="40" dist="20" width2="20" rgb="000000"/>
            <pm:line position="left" type="1" style="0" width="20" dist="20" width2="20" rgb="000000"/>
            <pm:line position="right" type="1" style="0" width="20" dist="20" width2="20" rgb="000000"/>
          </pm:border>
        </ext>
      </extLst>
    </border>
    <border>
      <left style="thin">
        <color rgb="FF000000"/>
      </left>
      <right style="none">
        <color rgb="FF000000"/>
      </right>
      <top style="none">
        <color rgb="FF000000"/>
      </top>
      <bottom style="thick">
        <color rgb="FF000000"/>
      </bottom>
      <extLst>
        <ext uri="smNativeData">
          <pm:border xmlns:pm="smNativeData" id="1780841053">
            <pm:line position="bottom" type="1" style="0" width="40" dist="20" width2="20" rgb="000000"/>
            <pm:line position="left" type="1" style="0" width="20" dist="20" width2="20" rgb="000000"/>
          </pm:border>
        </ext>
      </extLst>
    </border>
    <border>
      <left style="none">
        <color rgb="FF000000"/>
      </left>
      <right style="none">
        <color rgb="FF000000"/>
      </right>
      <top style="none">
        <color rgb="FF000000"/>
      </top>
      <bottom style="thick">
        <color rgb="FF000000"/>
      </bottom>
      <extLst>
        <ext uri="smNativeData">
          <pm:border xmlns:pm="smNativeData" id="1780841053">
            <pm:line position="bottom" type="1" style="0" width="40" dist="20" width2="20" rgb="000000"/>
          </pm:border>
        </ext>
      </extLst>
    </border>
    <border>
      <left style="none">
        <color rgb="FF000000"/>
      </left>
      <right style="thick">
        <color rgb="FF000000"/>
      </right>
      <top style="none">
        <color rgb="FF000000"/>
      </top>
      <bottom style="thick">
        <color rgb="FF000000"/>
      </bottom>
      <extLst>
        <ext uri="smNativeData">
          <pm:border xmlns:pm="smNativeData" id="1780841053">
            <pm:line position="bottom" type="1" style="0" width="40" dist="20" width2="20" rgb="000000"/>
            <pm:line position="right" type="1" style="0" width="40" dist="20" width2="20" rgb="000000"/>
          </pm:border>
        </ext>
      </extLst>
    </border>
    <border>
      <left style="thick">
        <color rgb="FF000000"/>
      </left>
      <right style="thin">
        <color rgb="FF000000"/>
      </right>
      <top style="thick">
        <color rgb="FF000000"/>
      </top>
      <bottom style="thin">
        <color rgb="FF000000"/>
      </bottom>
      <extLst>
        <ext uri="smNativeData">
          <pm:border xmlns:pm="smNativeData" id="1780841053">
            <pm:line position="top" type="1" style="0" width="40" dist="20" width2="20" rgb="000000"/>
            <pm:line position="bottom" type="1" style="0" width="20" dist="20" width2="20" rgb="000000"/>
            <pm:line position="left" type="1" style="0" width="40" dist="20" width2="20" rgb="000000"/>
            <pm:line position="right" type="1" style="0" width="20" dist="20" width2="20" rgb="000000"/>
          </pm:border>
        </ext>
      </extLst>
    </border>
    <border>
      <left style="thin">
        <color rgb="FF000000"/>
      </left>
      <right style="thin">
        <color rgb="FF000000"/>
      </right>
      <top style="thick">
        <color rgb="FF000000"/>
      </top>
      <bottom style="thin">
        <color rgb="FF000000"/>
      </bottom>
      <extLst>
        <ext uri="smNativeData">
          <pm:border xmlns:pm="smNativeData" id="1780841053">
            <pm:line position="top" type="1" style="0" width="4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ck">
        <color rgb="FF000000"/>
      </right>
      <top style="none">
        <color rgb="FF000000"/>
      </top>
      <bottom style="none">
        <color rgb="FF000000"/>
      </bottom>
      <extLst>
        <ext uri="smNativeData">
          <pm:border xmlns:pm="smNativeData" id="1780841053">
            <pm:line position="left" type="1" style="0" width="20" dist="20" width2="20" rgb="000000"/>
            <pm:line position="right" type="1" style="0" width="4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thick">
        <color rgb="FF000000"/>
      </left>
      <right style="thin">
        <color rgb="FF000000"/>
      </right>
      <top style="thin">
        <color rgb="FF000000"/>
      </top>
      <bottom style="thick">
        <color rgb="FF000000"/>
      </bottom>
      <extLst>
        <ext uri="smNativeData">
          <pm:border xmlns:pm="smNativeData" id="1780841053">
            <pm:line position="top" type="1" style="0" width="20" dist="20" width2="20" rgb="000000"/>
            <pm:line position="bottom" type="1" style="0" width="40" dist="20" width2="20" rgb="000000"/>
            <pm:line position="left" type="1" style="0" width="40" dist="20" width2="20" rgb="000000"/>
            <pm:line position="right" type="1" style="0" width="20" dist="20" width2="20" rgb="000000"/>
          </pm:border>
        </ext>
      </extLst>
    </border>
    <border>
      <left style="thin">
        <color rgb="FF000000"/>
      </left>
      <right style="thin">
        <color rgb="FF000000"/>
      </right>
      <top style="thin">
        <color rgb="FF000000"/>
      </top>
      <bottom style="thick">
        <color rgb="FF000000"/>
      </bottom>
      <extLst>
        <ext uri="smNativeData">
          <pm:border xmlns:pm="smNativeData" id="1780841053">
            <pm:line position="top" type="1" style="0" width="20" dist="20" width2="20" rgb="000000"/>
            <pm:line position="bottom" type="1" style="0" width="4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thick">
        <color rgb="FF000000"/>
      </top>
      <bottom style="none">
        <color rgb="FF000000"/>
      </bottom>
      <extLst>
        <ext uri="smNativeData">
          <pm:border xmlns:pm="smNativeData" id="1780841053">
            <pm:line position="top" type="1" style="0" width="40" dist="20" width2="20" rgb="000000"/>
          </pm:border>
        </ext>
      </extLst>
    </border>
    <border>
      <left style="none">
        <color rgb="FF000000"/>
      </left>
      <right style="thick">
        <color rgb="FF000000"/>
      </right>
      <top style="thick">
        <color rgb="FF000000"/>
      </top>
      <bottom style="none">
        <color rgb="FF000000"/>
      </bottom>
      <extLst>
        <ext uri="smNativeData">
          <pm:border xmlns:pm="smNativeData" id="1780841053">
            <pm:line position="top" type="1" style="0" width="40" dist="20" width2="20" rgb="000000"/>
            <pm:line position="right" type="1" style="0" width="40" dist="20" width2="20" rgb="000000"/>
          </pm:border>
        </ext>
      </extLst>
    </border>
    <border>
      <left style="thick">
        <color rgb="FF000000"/>
      </left>
      <right style="none">
        <color rgb="FF000000"/>
      </right>
      <top style="none">
        <color rgb="FF000000"/>
      </top>
      <bottom style="none">
        <color rgb="FF000000"/>
      </bottom>
      <extLst>
        <ext uri="smNativeData">
          <pm:border xmlns:pm="smNativeData" id="1780841053">
            <pm:line position="left" type="1" style="0" width="40" dist="20" width2="20" rgb="000000"/>
          </pm:border>
        </ext>
      </extLst>
    </border>
    <border>
      <left style="thick">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line position="left" type="1" style="0" width="40" dist="20" width2="20" rgb="000000"/>
          </pm:border>
        </ext>
      </extLst>
    </border>
    <border>
      <left style="thick">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line position="left" type="1" style="0" width="40" dist="20" width2="20" rgb="000000"/>
          </pm:border>
        </ext>
      </extLst>
    </border>
    <border>
      <left style="none">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border>
        </ext>
      </extLst>
    </border>
    <border>
      <left style="none">
        <color rgb="FF000000"/>
      </left>
      <right style="none">
        <color rgb="FF000000"/>
      </right>
      <top style="thin">
        <color rgb="FF000000"/>
      </top>
      <bottom style="none">
        <color rgb="FF000000"/>
      </bottom>
      <extLst>
        <ext uri="smNativeData">
          <pm:border xmlns:pm="smNativeData" id="1780841053">
            <pm:line position="top" type="1" style="0" width="20" dist="20" width2="20" rgb="000000"/>
          </pm:border>
        </ext>
      </extLst>
    </border>
    <border>
      <left style="none">
        <color rgb="FF000000"/>
      </left>
      <right style="thin">
        <color rgb="FF000000"/>
      </right>
      <top style="thin">
        <color rgb="FF000000"/>
      </top>
      <bottom style="none">
        <color rgb="FF000000"/>
      </bottom>
      <extLst>
        <ext uri="smNativeData">
          <pm:border xmlns:pm="smNativeData" id="1780841053">
            <pm:line position="top" type="1" style="0" width="20" dist="20" width2="20" rgb="000000"/>
            <pm:line position="right" type="1" style="0" width="20" dist="20" width2="20" rgb="000000"/>
          </pm:border>
        </ext>
      </extLst>
    </border>
    <border>
      <left style="none">
        <color rgb="FF000000"/>
      </left>
      <right style="thin">
        <color rgb="FF000000"/>
      </right>
      <top style="none">
        <color rgb="FF000000"/>
      </top>
      <bottom style="none">
        <color rgb="FF000000"/>
      </bottom>
      <extLst>
        <ext uri="smNativeData">
          <pm:border xmlns:pm="smNativeData" id="1780841053">
            <pm:line position="right" type="1" style="0" width="20" dist="20" width2="20" rgb="000000"/>
          </pm:border>
        </ext>
      </extLst>
    </border>
    <border>
      <left style="thick">
        <color rgb="FF000000"/>
      </left>
      <right style="none">
        <color rgb="FF000000"/>
      </right>
      <top style="thin">
        <color rgb="FF000000"/>
      </top>
      <bottom style="none">
        <color rgb="FF000000"/>
      </bottom>
      <extLst>
        <ext uri="smNativeData">
          <pm:border xmlns:pm="smNativeData" id="1780841053">
            <pm:line position="top" type="1" style="0" width="20" dist="20" width2="20" rgb="000000"/>
            <pm:line position="left" type="1" style="0" width="40" dist="20" width2="20" rgb="000000"/>
          </pm:border>
        </ext>
      </extLst>
    </border>
    <border>
      <left style="thin">
        <color rgb="FF000000"/>
      </left>
      <right style="thin">
        <color rgb="FF000000"/>
      </right>
      <top style="none">
        <color rgb="FF000000"/>
      </top>
      <bottom style="thick">
        <color rgb="FF000000"/>
      </bottom>
      <extLst>
        <ext uri="smNativeData">
          <pm:border xmlns:pm="smNativeData" id="1780841053">
            <pm:line position="bottom" type="1" style="0" width="4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thick">
        <color rgb="FF000000"/>
      </bottom>
      <extLst>
        <ext uri="smNativeData">
          <pm:border xmlns:pm="smNativeData" id="1780841053">
            <pm:line position="bottom" type="1" style="0" width="40" dist="20" width2="20" rgb="000000"/>
          </pm:border>
        </ext>
      </extLst>
    </border>
    <border>
      <left style="thin">
        <color rgb="FF000000"/>
      </left>
      <right style="none">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border>
        </ext>
      </extLst>
    </border>
    <border>
      <left style="thin">
        <color rgb="FF000000"/>
      </left>
      <right style="none">
        <color rgb="FF000000"/>
      </right>
      <top style="none">
        <color rgb="FF000000"/>
      </top>
      <bottom style="none">
        <color rgb="FF000000"/>
      </bottom>
      <extLst>
        <ext uri="smNativeData">
          <pm:border xmlns:pm="smNativeData" id="1780841053">
            <pm:line position="left" type="1" style="0" width="20" dist="20" width2="20" rgb="000000"/>
          </pm:border>
        </ext>
      </extLst>
    </border>
    <border>
      <left style="thin">
        <color rgb="FF000000"/>
      </left>
      <right style="none">
        <color rgb="FF000000"/>
      </right>
      <top style="none">
        <color rgb="FF000000"/>
      </top>
      <bottom style="thick">
        <color rgb="FF000000"/>
      </bottom>
      <extLst>
        <ext uri="smNativeData">
          <pm:border xmlns:pm="smNativeData" id="1780841053">
            <pm:line position="bottom" type="1" style="0" width="40" dist="20" width2="20" rgb="000000"/>
            <pm:line position="lef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right" type="1" style="0" width="20" dist="20" width2="20" rgb="000000"/>
          </pm:border>
        </ext>
      </extLst>
    </border>
    <border>
      <left style="none">
        <color rgb="FF000000"/>
      </left>
      <right style="none">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border>
        </ext>
      </extLst>
    </border>
    <border>
      <left style="thick">
        <color rgb="FF000000"/>
      </left>
      <right style="none">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thick">
        <color rgb="FF000000"/>
      </left>
      <right style="none">
        <color rgb="FF000000"/>
      </right>
      <top style="thin">
        <color rgb="FF000000"/>
      </top>
      <bottom style="thick">
        <color rgb="FF000000"/>
      </bottom>
      <extLst>
        <ext uri="smNativeData">
          <pm:border xmlns:pm="smNativeData" id="1780841053">
            <pm:line position="top" type="1" style="0" width="20" dist="20" width2="20" rgb="000000"/>
            <pm:line position="bottom" type="1" style="0" width="40" dist="20" width2="20" rgb="000000"/>
            <pm:line position="left" type="1" style="0" width="40" dist="20" width2="20" rgb="000000"/>
          </pm:border>
        </ext>
      </extLst>
    </border>
    <border>
      <left style="none">
        <color rgb="FF000000"/>
      </left>
      <right style="none">
        <color rgb="FF000000"/>
      </right>
      <top style="thin">
        <color rgb="FF000000"/>
      </top>
      <bottom style="thick">
        <color rgb="FF000000"/>
      </bottom>
      <extLst>
        <ext uri="smNativeData">
          <pm:border xmlns:pm="smNativeData" id="1780841053">
            <pm:line position="top" type="1" style="0" width="20" dist="20" width2="20" rgb="000000"/>
            <pm:line position="bottom" type="1" style="0" width="40" dist="20" width2="20" rgb="000000"/>
          </pm:border>
        </ext>
      </extLst>
    </border>
    <border>
      <left style="thick">
        <color rgb="FF000000"/>
      </left>
      <right style="none">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border>
        </ext>
      </extLst>
    </border>
    <border>
      <left style="none">
        <color rgb="FF000000"/>
      </left>
      <right style="none">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border>
        </ext>
      </extLst>
    </border>
    <border>
      <left style="none">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righ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border>
        </ext>
      </extLst>
    </border>
    <border>
      <left style="thick">
        <color rgb="FF000000"/>
      </left>
      <right style="none">
        <color rgb="FF000000"/>
      </right>
      <top style="thick">
        <color rgb="FF000000"/>
      </top>
      <bottom style="none">
        <color rgb="FF000000"/>
      </bottom>
      <extLst>
        <ext uri="smNativeData">
          <pm:border xmlns:pm="smNativeData" id="1780841053">
            <pm:line position="top" type="1" style="0" width="40" dist="20" width2="20" rgb="000000"/>
            <pm:line position="left" type="1" style="0" width="40" dist="20" width2="20" rgb="000000"/>
          </pm:border>
        </ext>
      </extLst>
    </border>
    <border>
      <left style="none">
        <color rgb="FF000000"/>
      </left>
      <right style="none">
        <color rgb="FF000000"/>
      </right>
      <top style="thick">
        <color rgb="FF000000"/>
      </top>
      <bottom style="none">
        <color rgb="FF000000"/>
      </bottom>
      <extLst>
        <ext uri="smNativeData">
          <pm:border xmlns:pm="smNativeData" id="1780841053">
            <pm:line position="top" type="1" style="0" width="40" dist="20" width2="20" rgb="000000"/>
          </pm:border>
        </ext>
      </extLst>
    </border>
    <border>
      <left style="none">
        <color rgb="FF000000"/>
      </left>
      <right style="thick">
        <color rgb="FF000000"/>
      </right>
      <top style="thick">
        <color rgb="FF000000"/>
      </top>
      <bottom style="none">
        <color rgb="FF000000"/>
      </bottom>
      <extLst>
        <ext uri="smNativeData">
          <pm:border xmlns:pm="smNativeData" id="1780841053">
            <pm:line position="top" type="1" style="0" width="40" dist="20" width2="20" rgb="000000"/>
            <pm:line position="right" type="1" style="0" width="40" dist="20" width2="20" rgb="000000"/>
          </pm:border>
        </ext>
      </extLst>
    </border>
    <border>
      <left style="thick">
        <color rgb="FF000000"/>
      </left>
      <right style="none">
        <color rgb="FF000000"/>
      </right>
      <top style="none">
        <color rgb="FF000000"/>
      </top>
      <bottom style="none">
        <color rgb="FF000000"/>
      </bottom>
      <extLst>
        <ext uri="smNativeData">
          <pm:border xmlns:pm="smNativeData" id="1780841053">
            <pm:line position="left" type="1" style="0" width="40" dist="20" width2="20" rgb="000000"/>
          </pm:border>
        </ext>
      </extLst>
    </border>
    <border>
      <left style="thin">
        <color rgb="FF000000"/>
      </left>
      <right style="thick">
        <color rgb="FF000000"/>
      </right>
      <top style="thick">
        <color rgb="FF000000"/>
      </top>
      <bottom style="thin">
        <color rgb="FF000000"/>
      </bottom>
      <extLst>
        <ext uri="smNativeData">
          <pm:border xmlns:pm="smNativeData" id="1780841053">
            <pm:line position="top" type="1" style="0" width="40" dist="20" width2="20" rgb="000000"/>
            <pm:line position="bottom" type="1" style="0" width="20" dist="20" width2="20" rgb="000000"/>
            <pm:line position="left" type="1" style="0" width="20" dist="20" width2="20" rgb="000000"/>
            <pm:line position="right" type="1" style="0" width="40" dist="20" width2="20" rgb="000000"/>
          </pm:border>
        </ext>
      </extLst>
    </border>
    <border>
      <left style="thin">
        <color rgb="FF000000"/>
      </left>
      <right style="thick">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40" dist="20" width2="20" rgb="000000"/>
          </pm:border>
        </ext>
      </extLst>
    </border>
    <border>
      <left style="none">
        <color rgb="FF000000"/>
      </left>
      <right style="thin">
        <color rgb="FF000000"/>
      </right>
      <top style="thick">
        <color rgb="FF000000"/>
      </top>
      <bottom style="thin">
        <color rgb="FF000000"/>
      </bottom>
      <extLst>
        <ext uri="smNativeData">
          <pm:border xmlns:pm="smNativeData" id="1780841053">
            <pm:line position="top" type="1" style="0" width="40" dist="20" width2="20" rgb="000000"/>
            <pm:line position="bottom" type="1" style="0" width="20" dist="20" width2="20" rgb="000000"/>
            <pm:line position="right" type="1" style="0" width="20" dist="20" width2="20" rgb="000000"/>
          </pm:border>
        </ext>
      </extLst>
    </border>
    <border>
      <left style="thin">
        <color rgb="FF000000"/>
      </left>
      <right style="thick">
        <color rgb="FF000000"/>
      </right>
      <top style="thin">
        <color rgb="FF000000"/>
      </top>
      <bottom style="thick">
        <color rgb="FF000000"/>
      </bottom>
      <extLst>
        <ext uri="smNativeData">
          <pm:border xmlns:pm="smNativeData" id="1780841053">
            <pm:line position="top" type="1" style="0" width="20" dist="20" width2="20" rgb="000000"/>
            <pm:line position="bottom" type="1" style="0" width="40" dist="20" width2="20" rgb="000000"/>
            <pm:line position="left" type="1" style="0" width="20" dist="20" width2="20" rgb="000000"/>
            <pm:line position="right" type="1" style="0" width="40" dist="20" width2="20" rgb="000000"/>
          </pm:border>
        </ext>
      </extLst>
    </border>
    <border>
      <left style="none">
        <color rgb="FF000000"/>
      </left>
      <right style="thin">
        <color rgb="FF000000"/>
      </right>
      <top style="none">
        <color rgb="FF000000"/>
      </top>
      <bottom style="none">
        <color rgb="FF000000"/>
      </bottom>
      <extLst>
        <ext uri="smNativeData">
          <pm:border xmlns:pm="smNativeData" id="1780841053">
            <pm:line position="right"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border>
        </ext>
      </extLst>
    </border>
    <border>
      <left style="none">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border>
        </ext>
      </extLst>
    </border>
    <border>
      <left style="thin">
        <color rgb="FF000000"/>
      </left>
      <right style="none">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border>
        </ext>
      </extLst>
    </border>
    <border>
      <left style="none">
        <color rgb="FF000000"/>
      </left>
      <right style="none">
        <color rgb="FF000000"/>
      </right>
      <top style="thin">
        <color rgb="FF000000"/>
      </top>
      <bottom style="none">
        <color rgb="FF000000"/>
      </bottom>
      <extLst>
        <ext uri="smNativeData">
          <pm:border xmlns:pm="smNativeData" id="1780841053">
            <pm:line position="top" type="1" style="0" width="20" dist="20" width2="20" rgb="000000"/>
          </pm:border>
        </ext>
      </extLst>
    </border>
    <border>
      <left style="thin">
        <color rgb="FF000000"/>
      </left>
      <right style="none">
        <color rgb="FF000000"/>
      </right>
      <top style="none">
        <color rgb="FF000000"/>
      </top>
      <bottom style="none">
        <color rgb="FF000000"/>
      </bottom>
      <extLst>
        <ext uri="smNativeData">
          <pm:border xmlns:pm="smNativeData" id="1780841053">
            <pm:line position="lef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thick">
        <color rgb="FF000000"/>
      </right>
      <top style="thin">
        <color rgb="FF000000"/>
      </top>
      <bottom style="none">
        <color rgb="FF000000"/>
      </bottom>
      <extLst>
        <ext uri="smNativeData">
          <pm:border xmlns:pm="smNativeData" id="1780841053">
            <pm:line position="top" type="1" style="0" width="20" dist="20" width2="20" rgb="000000"/>
            <pm:line position="right" type="1" style="0" width="40" dist="20" width2="20" rgb="000000"/>
          </pm:border>
        </ext>
      </extLst>
    </border>
    <border>
      <left style="none">
        <color rgb="FF000000"/>
      </left>
      <right style="thick">
        <color rgb="FF000000"/>
      </right>
      <top style="none">
        <color rgb="FF000000"/>
      </top>
      <bottom style="none">
        <color rgb="FF000000"/>
      </bottom>
      <extLst>
        <ext uri="smNativeData">
          <pm:border xmlns:pm="smNativeData" id="1780841053">
            <pm:line position="right" type="1" style="0" width="40" dist="20" width2="20" rgb="000000"/>
          </pm:border>
        </ext>
      </extLst>
    </border>
    <border>
      <left style="thin">
        <color rgb="FF000000"/>
      </left>
      <right style="none">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border>
        </ext>
      </extLst>
    </border>
    <border>
      <left style="thin">
        <color rgb="FF000000"/>
      </left>
      <right style="none">
        <color rgb="FF000000"/>
      </right>
      <top style="none">
        <color rgb="FF000000"/>
      </top>
      <bottom style="none">
        <color rgb="FF000000"/>
      </bottom>
      <extLst>
        <ext uri="smNativeData">
          <pm:border xmlns:pm="smNativeData" id="1780841053">
            <pm:line position="left"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border>
        </ext>
      </extLst>
    </border>
    <border>
      <left style="thin">
        <color rgb="FF000000"/>
      </left>
      <right style="none">
        <color rgb="FF000000"/>
      </right>
      <top style="none">
        <color rgb="FF000000"/>
      </top>
      <bottom style="none">
        <color rgb="FF000000"/>
      </bottom>
      <extLst>
        <ext uri="smNativeData">
          <pm:border xmlns:pm="smNativeData" id="1780841053">
            <pm:line position="left" type="1" style="0" width="20" dist="20" width2="20" rgb="000000"/>
          </pm:border>
        </ext>
      </extLst>
    </border>
    <border>
      <left style="thin">
        <color rgb="FF000000"/>
      </left>
      <right style="none">
        <color rgb="FF000000"/>
      </right>
      <top style="none">
        <color rgb="FF000000"/>
      </top>
      <bottom style="none">
        <color rgb="FF000000"/>
      </bottom>
      <extLst>
        <ext uri="smNativeData">
          <pm:border xmlns:pm="smNativeData" id="1780841053">
            <pm:line position="left" type="1" style="0" width="20" dist="20" width2="20" rgb="000000"/>
          </pm:border>
        </ext>
      </extLst>
    </border>
    <border>
      <left style="none">
        <color rgb="FF000000"/>
      </left>
      <right style="thick">
        <color rgb="FF000000"/>
      </right>
      <top style="none">
        <color rgb="FF000000"/>
      </top>
      <bottom style="thin">
        <color rgb="FF000000"/>
      </bottom>
      <extLst>
        <ext uri="smNativeData">
          <pm:border xmlns:pm="smNativeData" id="1780841053">
            <pm:line position="bottom" type="1" style="0" width="20" dist="20" width2="20" rgb="000000"/>
            <pm:line position="right" type="1" style="0" width="40" dist="20" width2="20" rgb="000000"/>
          </pm:border>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thick">
        <color rgb="FF000000"/>
      </right>
      <top style="none">
        <color rgb="FF000000"/>
      </top>
      <bottom style="none">
        <color rgb="FF000000"/>
      </bottom>
      <extLst>
        <ext uri="smNativeData">
          <pm:border xmlns:pm="smNativeData" id="1780841053">
            <pm:line position="right" type="1" style="0" width="40" dist="20" width2="20" rgb="000000"/>
          </pm:border>
        </ext>
      </extLst>
    </border>
    <border>
      <left style="thin">
        <color rgb="FF000000"/>
      </left>
      <right style="none">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border>
        </ext>
      </extLst>
    </border>
    <border>
      <left style="none">
        <color rgb="FF000000"/>
      </left>
      <right style="none">
        <color rgb="FF000000"/>
      </right>
      <top style="thin">
        <color rgb="FF000000"/>
      </top>
      <bottom style="none">
        <color rgb="FF000000"/>
      </bottom>
      <extLst>
        <ext uri="smNativeData">
          <pm:border xmlns:pm="smNativeData" id="1780841053">
            <pm:line position="top" type="1" style="0" width="20" dist="20" width2="20" rgb="000000"/>
          </pm:border>
        </ext>
      </extLst>
    </border>
    <border>
      <left style="thin">
        <color rgb="FF000000"/>
      </left>
      <right style="none">
        <color rgb="FF000000"/>
      </right>
      <top style="none">
        <color rgb="FF000000"/>
      </top>
      <bottom style="none">
        <color rgb="FF000000"/>
      </bottom>
      <extLst>
        <ext uri="smNativeData">
          <pm:border xmlns:pm="smNativeData" id="1780841053">
            <pm:line position="left"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border>
        </ext>
      </extLst>
    </border>
    <border>
      <left style="none">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border>
        </ext>
      </extLst>
    </border>
    <border>
      <left style="thin">
        <color rgb="FF000000"/>
      </left>
      <right style="none">
        <color rgb="FF000000"/>
      </right>
      <top style="none">
        <color rgb="FF000000"/>
      </top>
      <bottom style="none">
        <color rgb="FF000000"/>
      </bottom>
      <extLst>
        <ext uri="smNativeData">
          <pm:border xmlns:pm="smNativeData" id="1780841053">
            <pm:line position="left" type="1" style="0" width="20" dist="20" width2="20" rgb="000000"/>
          </pm:border>
        </ext>
      </extLst>
    </border>
    <border>
      <left style="none">
        <color rgb="FF000000"/>
      </left>
      <right style="thick">
        <color rgb="FF000000"/>
      </right>
      <top style="none">
        <color rgb="FF000000"/>
      </top>
      <bottom style="thin">
        <color rgb="FF000000"/>
      </bottom>
      <extLst>
        <ext uri="smNativeData">
          <pm:border xmlns:pm="smNativeData" id="1780841053">
            <pm:line position="bottom" type="1" style="0" width="20" dist="20" width2="20" rgb="000000"/>
            <pm:line position="right" type="1" style="0" width="40" dist="20" width2="20" rgb="000000"/>
          </pm:border>
        </ext>
      </extLst>
    </border>
    <border>
      <left style="none">
        <color rgb="FF000000"/>
      </left>
      <right style="thick">
        <color rgb="FF000000"/>
      </right>
      <top style="thin">
        <color rgb="FF000000"/>
      </top>
      <bottom style="none">
        <color rgb="FF000000"/>
      </bottom>
      <extLst>
        <ext uri="smNativeData">
          <pm:border xmlns:pm="smNativeData" id="1780841053">
            <pm:line position="top" type="1" style="0" width="20" dist="20" width2="20" rgb="000000"/>
            <pm:line position="right" type="1" style="0" width="40" dist="20" width2="20" rgb="000000"/>
          </pm:border>
        </ext>
      </extLst>
    </border>
    <border>
      <left style="none">
        <color rgb="FF000000"/>
      </left>
      <right style="thick">
        <color rgb="FF000000"/>
      </right>
      <top style="none">
        <color rgb="FF000000"/>
      </top>
      <bottom style="thin">
        <color rgb="FF000000"/>
      </bottom>
      <extLst>
        <ext uri="smNativeData">
          <pm:border xmlns:pm="smNativeData" id="1780841053">
            <pm:line position="bottom" type="1" style="0" width="20" dist="20" width2="20" rgb="000000"/>
            <pm:line position="right" type="1" style="0" width="40" dist="20" width2="20" rgb="000000"/>
          </pm:border>
        </ext>
      </extLst>
    </border>
    <border>
      <left style="thin">
        <color rgb="FF000000"/>
      </left>
      <right style="none">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border>
        </ext>
      </extLst>
    </border>
    <border>
      <left style="none">
        <color rgb="FF000000"/>
      </left>
      <right style="none">
        <color rgb="FF000000"/>
      </right>
      <top style="thin">
        <color rgb="FF000000"/>
      </top>
      <bottom style="none">
        <color rgb="FF000000"/>
      </bottom>
      <extLst>
        <ext uri="smNativeData">
          <pm:border xmlns:pm="smNativeData" id="1780841053">
            <pm:line position="top" type="1" style="0" width="20" dist="20" width2="20" rgb="000000"/>
          </pm:border>
        </ext>
      </extLst>
    </border>
    <border>
      <left style="none">
        <color rgb="FF000000"/>
      </left>
      <right style="thick">
        <color rgb="FF000000"/>
      </right>
      <top style="thin">
        <color rgb="FF000000"/>
      </top>
      <bottom style="thick">
        <color rgb="FF000000"/>
      </bottom>
      <extLst>
        <ext uri="smNativeData">
          <pm:border xmlns:pm="smNativeData" id="1780841053">
            <pm:line position="top" type="1" style="0" width="20" dist="20" width2="20" rgb="000000"/>
            <pm:line position="bottom" type="1" style="0" width="40" dist="20" width2="20" rgb="000000"/>
            <pm:line position="right" type="1" style="0" width="40" dist="20" width2="20" rgb="000000"/>
          </pm:border>
        </ext>
      </extLst>
    </border>
    <border>
      <left style="thin">
        <color rgb="FF000000"/>
      </left>
      <right style="thick">
        <color rgb="FF000000"/>
      </right>
      <top style="thick">
        <color rgb="FF000000"/>
      </top>
      <bottom style="thin">
        <color rgb="FF000000"/>
      </bottom>
      <extLst>
        <ext uri="smNativeData">
          <pm:border xmlns:pm="smNativeData" id="1780841053">
            <pm:line position="top" type="1" style="0" width="40" dist="20" width2="20" rgb="000000"/>
            <pm:line position="bottom" type="1" style="0" width="20" dist="20" width2="20" rgb="000000"/>
            <pm:line position="left" type="1" style="0" width="20" dist="20" width2="20" rgb="000000"/>
            <pm:line position="right" type="1" style="0" width="40" dist="20" width2="20" rgb="000000"/>
          </pm:border>
        </ext>
      </extLst>
    </border>
    <border>
      <left style="thin">
        <color rgb="FF000000"/>
      </left>
      <right style="thick">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40" dist="20" width2="20" rgb="000000"/>
          </pm:border>
        </ext>
      </extLst>
    </border>
    <border>
      <left style="thin">
        <color rgb="FF000000"/>
      </left>
      <right style="thick">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40" dist="20" width2="20" rgb="000000"/>
          </pm:border>
        </ext>
      </extLst>
    </border>
    <border>
      <left style="thin">
        <color rgb="FF000000"/>
      </left>
      <right style="thick">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40" dist="20" width2="20" rgb="000000"/>
          </pm:border>
        </ext>
      </extLst>
    </border>
    <border>
      <left style="thin">
        <color rgb="FF000000"/>
      </left>
      <right style="thick">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40" dist="20" width2="20" rgb="000000"/>
          </pm:border>
        </ext>
      </extLst>
    </border>
    <border>
      <left style="thin">
        <color rgb="FF000000"/>
      </left>
      <right style="thick">
        <color rgb="FF000000"/>
      </right>
      <top style="none">
        <color rgb="FF000000"/>
      </top>
      <bottom style="thick">
        <color rgb="FF000000"/>
      </bottom>
      <extLst>
        <ext uri="smNativeData">
          <pm:border xmlns:pm="smNativeData" id="1780841053">
            <pm:line position="bottom" type="1" style="0" width="40" dist="20" width2="20" rgb="000000"/>
            <pm:line position="left" type="1" style="0" width="20" dist="20" width2="20" rgb="000000"/>
            <pm:line position="right" type="1" style="0" width="40" dist="20" width2="20" rgb="000000"/>
          </pm:border>
        </ext>
      </extLst>
    </border>
    <border>
      <left style="thin">
        <color rgb="FF000000"/>
      </left>
      <right style="none">
        <color rgb="FF000000"/>
      </right>
      <top style="thick">
        <color rgb="FF000000"/>
      </top>
      <bottom style="thin">
        <color rgb="FF000000"/>
      </bottom>
      <extLst>
        <ext uri="smNativeData">
          <pm:border xmlns:pm="smNativeData" id="1780841053">
            <pm:line position="top" type="1" style="0" width="4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ck">
        <color rgb="FF000000"/>
      </top>
      <bottom style="thin">
        <color rgb="FF000000"/>
      </bottom>
      <extLst>
        <ext uri="smNativeData">
          <pm:border xmlns:pm="smNativeData" id="1780841053">
            <pm:line position="top" type="1" style="0" width="4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ck">
        <color rgb="FF000000"/>
      </top>
      <bottom style="thick">
        <color rgb="FF000000"/>
      </bottom>
      <extLst>
        <ext uri="smNativeData">
          <pm:border xmlns:pm="smNativeData" id="1780841053">
            <pm:line position="top" type="1" style="0" width="40" dist="20" width2="20" rgb="000000"/>
            <pm:line position="bottom" type="1" style="0" width="40" dist="20" width2="20" rgb="000000"/>
            <pm:line position="left"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ck">
        <color rgb="FF000000"/>
      </bottom>
      <extLst>
        <ext uri="smNativeData">
          <pm:border xmlns:pm="smNativeData" id="1780841053">
            <pm:line position="top" type="1" style="0" width="20" dist="20" width2="20" rgb="000000"/>
            <pm:line position="bottom" type="1" style="0" width="40" dist="20" width2="20" rgb="000000"/>
            <pm:line position="left" type="1" style="0" width="20" dist="20" width2="20" rgb="000000"/>
          </pm:border>
        </ext>
      </extLst>
    </border>
    <border>
      <left style="none">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right" type="1" style="0" width="20" dist="20" width2="20" rgb="000000"/>
          </pm:border>
        </ext>
      </extLst>
    </border>
    <border>
      <left style="none">
        <color rgb="FF000000"/>
      </left>
      <right style="thin">
        <color rgb="FF000000"/>
      </right>
      <top style="thin">
        <color rgb="FF000000"/>
      </top>
      <bottom style="thick">
        <color rgb="FF000000"/>
      </bottom>
      <extLst>
        <ext uri="smNativeData">
          <pm:border xmlns:pm="smNativeData" id="1780841053">
            <pm:line position="top" type="1" style="0" width="20" dist="20" width2="20" rgb="000000"/>
            <pm:line position="bottom" type="1" style="0" width="40" dist="20" width2="20" rgb="000000"/>
            <pm:line position="right" type="1" style="0" width="20" dist="20" width2="20" rgb="000000"/>
          </pm:border>
        </ext>
      </extLst>
    </border>
    <border>
      <left style="none">
        <color rgb="FF000000"/>
      </left>
      <right style="thick">
        <color rgb="FF000000"/>
      </right>
      <top style="none">
        <color rgb="FF000000"/>
      </top>
      <bottom style="none">
        <color rgb="FF000000"/>
      </bottom>
      <extLst>
        <ext uri="smNativeData">
          <pm:border xmlns:pm="smNativeData" id="1780841053">
            <pm:line position="right" type="1" style="0" width="40" dist="20" width2="20" rgb="000000"/>
          </pm:border>
        </ext>
      </extLst>
    </border>
    <border>
      <left style="none">
        <color rgb="FF000000"/>
      </left>
      <right style="none">
        <color rgb="FF000000"/>
      </right>
      <top style="thin">
        <color rgb="FF000000"/>
      </top>
      <bottom style="none">
        <color rgb="FF000000"/>
      </bottom>
      <extLst>
        <ext uri="smNativeData">
          <pm:border xmlns:pm="smNativeData" id="1780841053">
            <pm:line position="top" type="1" style="0" width="20" dist="20" width2="20" rgb="000000"/>
          </pm:border>
        </ext>
      </extLst>
    </border>
    <border>
      <left style="none">
        <color rgb="FF000000"/>
      </left>
      <right style="none">
        <color rgb="FF000000"/>
      </right>
      <top style="thin">
        <color rgb="FF000000"/>
      </top>
      <bottom style="none">
        <color rgb="FF000000"/>
      </bottom>
      <extLst>
        <ext uri="smNativeData">
          <pm:border xmlns:pm="smNativeData" id="1780841053">
            <pm:line position="top" type="1" style="0" width="20" dist="20" width2="20" rgb="000000"/>
          </pm:border>
        </ext>
      </extLst>
    </border>
    <border>
      <left style="none">
        <color rgb="FF000000"/>
      </left>
      <right style="none">
        <color rgb="FF000000"/>
      </right>
      <top style="thin">
        <color rgb="FF000000"/>
      </top>
      <bottom style="none">
        <color rgb="FF000000"/>
      </bottom>
      <extLst>
        <ext uri="smNativeData">
          <pm:border xmlns:pm="smNativeData" id="1780841053">
            <pm:line position="top" type="1" style="0" width="20" dist="20" width2="20" rgb="000000"/>
          </pm:border>
        </ext>
      </extLst>
    </border>
    <border>
      <left style="thick">
        <color rgb="FF000000"/>
      </left>
      <right style="none">
        <color rgb="FF000000"/>
      </right>
      <top style="thin">
        <color rgb="FF000000"/>
      </top>
      <bottom style="none">
        <color rgb="FF000000"/>
      </bottom>
      <extLst>
        <ext uri="smNativeData">
          <pm:border xmlns:pm="smNativeData" id="1780841053">
            <pm:line position="top" type="1" style="0" width="20" dist="20" width2="20" rgb="000000"/>
            <pm:line position="left" type="1" style="0" width="40" dist="20" width2="20" rgb="000000"/>
          </pm:border>
        </ext>
      </extLst>
    </border>
    <border>
      <left style="none">
        <color rgb="FF000000"/>
      </left>
      <right style="thin">
        <color rgb="FF000000"/>
      </right>
      <top style="thin">
        <color rgb="FF000000"/>
      </top>
      <bottom style="none">
        <color rgb="FF000000"/>
      </bottom>
      <extLst>
        <ext uri="smNativeData">
          <pm:border xmlns:pm="smNativeData" id="1780841053">
            <pm:line position="top" type="1" style="0" width="20" dist="20" width2="20" rgb="000000"/>
            <pm:line position="right" type="1" style="0" width="20" dist="20" width2="20" rgb="000000"/>
          </pm:border>
        </ext>
      </extLst>
    </border>
    <border>
      <left style="none">
        <color rgb="FF000000"/>
      </left>
      <right style="thin">
        <color rgb="FF000000"/>
      </right>
      <top style="thin">
        <color rgb="FF000000"/>
      </top>
      <bottom style="none">
        <color rgb="FF000000"/>
      </bottom>
      <extLst>
        <ext uri="smNativeData">
          <pm:border xmlns:pm="smNativeData" id="1780841053">
            <pm:line position="top" type="1" style="0" width="20" dist="20" width2="20" rgb="000000"/>
            <pm:line position="right" type="1" style="0" width="20" dist="20" width2="20" rgb="000000"/>
          </pm:border>
        </ext>
      </extLst>
    </border>
    <border>
      <left style="none">
        <color rgb="FF000000"/>
      </left>
      <right style="thin">
        <color rgb="FF000000"/>
      </right>
      <top style="thin">
        <color rgb="FF000000"/>
      </top>
      <bottom style="none">
        <color rgb="FF000000"/>
      </bottom>
      <extLst>
        <ext uri="smNativeData">
          <pm:border xmlns:pm="smNativeData" id="1780841053">
            <pm:line position="top" type="1" style="0" width="20" dist="20" width2="20" rgb="000000"/>
            <pm:line position="right" type="1" style="0" width="20" dist="20" width2="20" rgb="000000"/>
          </pm:border>
        </ext>
      </extLst>
    </border>
    <border>
      <left style="none">
        <color rgb="FF000000"/>
      </left>
      <right style="thin">
        <color rgb="FF000000"/>
      </right>
      <top style="thin">
        <color rgb="FF000000"/>
      </top>
      <bottom style="none">
        <color rgb="FF000000"/>
      </bottom>
      <extLst>
        <ext uri="smNativeData">
          <pm:border xmlns:pm="smNativeData" id="1780841053">
            <pm:line position="top" type="1" style="0" width="20" dist="20" width2="20" rgb="000000"/>
            <pm:line position="right" type="1" style="0" width="20" dist="20" width2="20" rgb="000000"/>
          </pm:border>
        </ext>
      </extLst>
    </border>
    <border>
      <left style="thick">
        <color rgb="FF000000"/>
      </left>
      <right style="none">
        <color rgb="FF000000"/>
      </right>
      <top style="none">
        <color rgb="FF000000"/>
      </top>
      <bottom style="none">
        <color rgb="FF000000"/>
      </bottom>
      <extLst>
        <ext uri="smNativeData">
          <pm:border xmlns:pm="smNativeData" id="1780841053">
            <pm:line position="left" type="1" style="0" width="40" dist="20" width2="20" rgb="000000"/>
          </pm:border>
        </ext>
      </extLst>
    </border>
    <border>
      <left style="none">
        <color rgb="FF000000"/>
      </left>
      <right style="thin">
        <color rgb="FF000000"/>
      </right>
      <top style="none">
        <color rgb="FF000000"/>
      </top>
      <bottom style="none">
        <color rgb="FF000000"/>
      </bottom>
      <extLst>
        <ext uri="smNativeData">
          <pm:border xmlns:pm="smNativeData" id="1780841053">
            <pm:line position="right" type="1" style="0" width="20" dist="20" width2="20" rgb="000000"/>
          </pm:border>
        </ext>
      </extLst>
    </border>
    <border>
      <left style="none">
        <color rgb="FF000000"/>
      </left>
      <right style="thin">
        <color rgb="FF000000"/>
      </right>
      <top style="none">
        <color rgb="FF000000"/>
      </top>
      <bottom style="none">
        <color rgb="FF000000"/>
      </bottom>
      <extLst>
        <ext uri="smNativeData">
          <pm:border xmlns:pm="smNativeData" id="1780841053">
            <pm:line position="right" type="1" style="0" width="20" dist="20" width2="20" rgb="000000"/>
          </pm:border>
        </ext>
      </extLst>
    </border>
    <border>
      <left style="none">
        <color rgb="FF000000"/>
      </left>
      <right style="thin">
        <color rgb="FF000000"/>
      </right>
      <top style="none">
        <color rgb="FF000000"/>
      </top>
      <bottom style="none">
        <color rgb="FF000000"/>
      </bottom>
      <extLst>
        <ext uri="smNativeData">
          <pm:border xmlns:pm="smNativeData" id="1780841053">
            <pm:line position="right" type="1" style="0" width="20" dist="20" width2="20" rgb="000000"/>
          </pm:border>
        </ext>
      </extLst>
    </border>
    <border>
      <left style="none">
        <color rgb="FF000000"/>
      </left>
      <right style="thin">
        <color rgb="FF000000"/>
      </right>
      <top style="none">
        <color rgb="FF000000"/>
      </top>
      <bottom style="none">
        <color rgb="FF000000"/>
      </bottom>
      <extLst>
        <ext uri="smNativeData">
          <pm:border xmlns:pm="smNativeData" id="1780841053">
            <pm:line position="right" type="1" style="0" width="20" dist="20" width2="20" rgb="000000"/>
          </pm:border>
        </ext>
      </extLst>
    </border>
    <border>
      <left style="thick">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line position="left" type="1" style="0" width="40" dist="20" width2="20" rgb="000000"/>
          </pm:border>
        </ext>
      </extLst>
    </border>
    <border>
      <left style="none">
        <color rgb="FF000000"/>
      </left>
      <right style="thin">
        <color rgb="FF000000"/>
      </right>
      <top style="none">
        <color rgb="FF000000"/>
      </top>
      <bottom style="thin">
        <color rgb="FF000000"/>
      </bottom>
      <extLst>
        <ext uri="smNativeData">
          <pm:border xmlns:pm="smNativeData" id="1780841053">
            <pm:line position="bottom" type="1" style="0" width="20" dist="20" width2="20" rgb="000000"/>
            <pm:line position="right" type="1" style="0" width="20" dist="20" width2="20" rgb="000000"/>
          </pm:border>
        </ext>
      </extLst>
    </border>
    <border>
      <left style="none">
        <color rgb="FF000000"/>
      </left>
      <right style="thin">
        <color rgb="FF000000"/>
      </right>
      <top style="none">
        <color rgb="FF000000"/>
      </top>
      <bottom style="thin">
        <color rgb="FF000000"/>
      </bottom>
      <extLst>
        <ext uri="smNativeData">
          <pm:border xmlns:pm="smNativeData" id="1780841053">
            <pm:line position="bottom" type="1" style="0" width="20" dist="20" width2="20" rgb="000000"/>
            <pm:line position="right" type="1" style="0" width="20" dist="20" width2="20" rgb="000000"/>
          </pm:border>
        </ext>
      </extLst>
    </border>
    <border>
      <left style="none">
        <color rgb="FF000000"/>
      </left>
      <right style="thin">
        <color rgb="FF000000"/>
      </right>
      <top style="none">
        <color rgb="FF000000"/>
      </top>
      <bottom style="thin">
        <color rgb="FF000000"/>
      </bottom>
      <extLst>
        <ext uri="smNativeData">
          <pm:border xmlns:pm="smNativeData" id="1780841053">
            <pm:line position="bottom" type="1" style="0" width="20" dist="20" width2="20" rgb="000000"/>
            <pm:line position="right" type="1" style="0" width="20" dist="20" width2="20" rgb="000000"/>
          </pm:border>
        </ext>
      </extLst>
    </border>
    <border>
      <left style="none">
        <color rgb="FF000000"/>
      </left>
      <right style="thin">
        <color rgb="FF000000"/>
      </right>
      <top style="none">
        <color rgb="FF000000"/>
      </top>
      <bottom style="thin">
        <color rgb="FF000000"/>
      </bottom>
      <extLst>
        <ext uri="smNativeData">
          <pm:border xmlns:pm="smNativeData" id="1780841053">
            <pm:line position="bottom" type="1" style="0" width="20" dist="20" width2="20" rgb="000000"/>
            <pm:line position="right" type="1" style="0" width="20" dist="20" width2="20" rgb="000000"/>
          </pm:border>
        </ext>
      </extLst>
    </border>
    <border>
      <left style="none">
        <color rgb="FF000000"/>
      </left>
      <right style="thin">
        <color rgb="FF000000"/>
      </right>
      <top style="none">
        <color rgb="FF000000"/>
      </top>
      <bottom style="thin">
        <color rgb="FF000000"/>
      </bottom>
      <extLst>
        <ext uri="smNativeData">
          <pm:border xmlns:pm="smNativeData" id="1780841053">
            <pm:line position="bottom" type="1" style="0" width="20" dist="20" width2="20" rgb="000000"/>
            <pm:line position="right" type="1" style="0" width="20" dist="20" width2="20" rgb="000000"/>
          </pm:border>
        </ext>
      </extLst>
    </border>
    <border>
      <left style="none">
        <color rgb="FF000000"/>
      </left>
      <right style="thick">
        <color rgb="FF000000"/>
      </right>
      <top style="none">
        <color rgb="FF000000"/>
      </top>
      <bottom style="none">
        <color rgb="FF000000"/>
      </bottom>
      <extLst>
        <ext uri="smNativeData">
          <pm:border xmlns:pm="smNativeData" id="1780841053">
            <pm:line position="right" type="1" style="0" width="40" dist="20" width2="20" rgb="000000"/>
          </pm:border>
        </ext>
      </extLst>
    </border>
    <border>
      <left style="thick">
        <color rgb="FF000000"/>
      </left>
      <right style="none">
        <color rgb="FF000000"/>
      </right>
      <top style="thin">
        <color rgb="FF000000"/>
      </top>
      <bottom style="none">
        <color rgb="FF000000"/>
      </bottom>
      <extLst>
        <ext uri="smNativeData">
          <pm:border xmlns:pm="smNativeData" id="1780841053">
            <pm:line position="top" type="1" style="0" width="20" dist="20" width2="20" rgb="000000"/>
            <pm:line position="left" type="1" style="0" width="4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ck">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4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ck">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40" dist="20" width2="20" rgb="000000"/>
          </pm:border>
        </ext>
      </extLst>
    </border>
    <border>
      <left style="thick">
        <color rgb="FF000000"/>
      </left>
      <right style="none">
        <color rgb="FF000000"/>
      </right>
      <top style="none">
        <color rgb="FF000000"/>
      </top>
      <bottom style="none">
        <color rgb="FF000000"/>
      </bottom>
      <extLst>
        <ext uri="smNativeData">
          <pm:border xmlns:pm="smNativeData" id="1780841053">
            <pm:line position="left" type="1" style="0" width="40" dist="20" width2="20" rgb="000000"/>
          </pm:border>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thick">
        <color rgb="FF000000"/>
      </right>
      <top style="none">
        <color rgb="FF000000"/>
      </top>
      <bottom style="none">
        <color rgb="FF000000"/>
      </bottom>
      <extLst>
        <ext uri="smNativeData">
          <pm:border xmlns:pm="smNativeData" id="1780841053">
            <pm:line position="right" type="1" style="0" width="40" dist="20" width2="20" rgb="000000"/>
          </pm:border>
        </ext>
      </extLst>
    </border>
    <border>
      <left style="thick">
        <color rgb="FF000000"/>
      </left>
      <right style="none">
        <color rgb="FF000000"/>
      </right>
      <top style="none">
        <color rgb="FF000000"/>
      </top>
      <bottom style="none">
        <color rgb="FF000000"/>
      </bottom>
      <extLst>
        <ext uri="smNativeData">
          <pm:border xmlns:pm="smNativeData" id="1780841053">
            <pm:line position="left" type="1" style="0" width="40" dist="20" width2="20" rgb="000000"/>
          </pm:border>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thick">
        <color rgb="FF000000"/>
      </right>
      <top style="none">
        <color rgb="FF000000"/>
      </top>
      <bottom style="none">
        <color rgb="FF000000"/>
      </bottom>
      <extLst>
        <ext uri="smNativeData">
          <pm:border xmlns:pm="smNativeData" id="1780841053">
            <pm:line position="right" type="1" style="0" width="40" dist="20" width2="20" rgb="000000"/>
          </pm:border>
        </ext>
      </extLst>
    </border>
    <border>
      <left style="thick">
        <color rgb="FF000000"/>
      </left>
      <right style="none">
        <color rgb="FF000000"/>
      </right>
      <top style="none">
        <color rgb="FF000000"/>
      </top>
      <bottom style="thick">
        <color rgb="FF000000"/>
      </bottom>
      <extLst>
        <ext uri="smNativeData">
          <pm:border xmlns:pm="smNativeData" id="1780841053">
            <pm:line position="bottom" type="1" style="0" width="40" dist="20" width2="20" rgb="000000"/>
            <pm:line position="left" type="1" style="0" width="40" dist="20" width2="20" rgb="000000"/>
          </pm:border>
        </ext>
      </extLst>
    </border>
    <border>
      <left style="none">
        <color rgb="FF000000"/>
      </left>
      <right style="none">
        <color rgb="FF000000"/>
      </right>
      <top style="none">
        <color rgb="FF000000"/>
      </top>
      <bottom style="thick">
        <color rgb="FF000000"/>
      </bottom>
      <extLst>
        <ext uri="smNativeData">
          <pm:border xmlns:pm="smNativeData" id="1780841053">
            <pm:line position="bottom" type="1" style="0" width="40" dist="20" width2="20" rgb="000000"/>
          </pm:border>
        </ext>
      </extLst>
    </border>
    <border>
      <left style="none">
        <color rgb="FF000000"/>
      </left>
      <right style="thick">
        <color rgb="FF000000"/>
      </right>
      <top style="none">
        <color rgb="FF000000"/>
      </top>
      <bottom style="thick">
        <color rgb="FF000000"/>
      </bottom>
      <extLst>
        <ext uri="smNativeData">
          <pm:border xmlns:pm="smNativeData" id="1780841053">
            <pm:line position="bottom" type="1" style="0" width="40" dist="20" width2="20" rgb="000000"/>
            <pm:line position="right" type="1" style="0" width="40" dist="20" width2="20" rgb="000000"/>
          </pm:border>
        </ext>
      </extLst>
    </border>
    <border>
      <left style="thick">
        <color rgb="FF000000"/>
      </left>
      <right style="thin">
        <color rgb="FF000000"/>
      </right>
      <top style="thick">
        <color rgb="FF000000"/>
      </top>
      <bottom style="thin">
        <color rgb="FF000000"/>
      </bottom>
      <extLst>
        <ext uri="smNativeData">
          <pm:border xmlns:pm="smNativeData" id="1780841053">
            <pm:line position="top" type="1" style="0" width="40" dist="20" width2="20" rgb="000000"/>
            <pm:line position="bottom" type="1" style="0" width="20" dist="20" width2="20" rgb="000000"/>
            <pm:line position="left" type="1" style="0" width="40" dist="20" width2="20" rgb="000000"/>
            <pm:line position="right" type="1" style="0" width="20" dist="20" width2="20" rgb="000000"/>
          </pm:border>
        </ext>
      </extLst>
    </border>
    <border>
      <left style="thin">
        <color rgb="FF000000"/>
      </left>
      <right style="thin">
        <color rgb="FF000000"/>
      </right>
      <top style="thick">
        <color rgb="FF000000"/>
      </top>
      <bottom style="thin">
        <color rgb="FF000000"/>
      </bottom>
      <extLst>
        <ext uri="smNativeData">
          <pm:border xmlns:pm="smNativeData" id="1780841053">
            <pm:line position="top" type="1" style="0" width="40" dist="20" width2="20" rgb="000000"/>
            <pm:line position="bottom" type="1" style="0" width="20" dist="20" width2="20" rgb="000000"/>
            <pm:line position="left" type="1" style="0" width="20" dist="20" width2="20" rgb="000000"/>
            <pm:line position="right" type="1" style="0" width="2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thick">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40" dist="20" width2="20" rgb="000000"/>
            <pm:line position="right" type="1" style="0" width="20" dist="20" width2="20" rgb="000000"/>
          </pm:border>
        </ext>
      </extLst>
    </border>
    <border>
      <left style="thick">
        <color rgb="FF000000"/>
      </left>
      <right style="none">
        <color rgb="FF000000"/>
      </right>
      <top style="none">
        <color rgb="FF000000"/>
      </top>
      <bottom style="none">
        <color rgb="FF000000"/>
      </bottom>
      <extLst>
        <ext uri="smNativeData">
          <pm:border xmlns:pm="smNativeData" id="1780841053">
            <pm:line position="left" type="1" style="0" width="40" dist="20" width2="20" rgb="000000"/>
          </pm:border>
        </ext>
      </extLst>
    </border>
    <border>
      <left style="thick">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line position="left" type="1" style="0" width="40" dist="20" width2="20" rgb="000000"/>
          </pm:border>
        </ext>
      </extLst>
    </border>
    <border>
      <left style="none">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thin">
        <color rgb="FF95B3D7"/>
      </top>
      <bottom style="none">
        <color rgb="FF000000"/>
      </bottom>
      <extLst>
        <ext uri="smNativeData">
          <pm:border xmlns:pm="smNativeData" id="1780841053">
            <pm:line position="top" type="1" style="0" width="20" dist="20" width2="20" rgb="95B3D7"/>
          </pm:border>
        </ext>
      </extLst>
    </border>
    <border>
      <left style="none">
        <color rgb="FF000000"/>
      </left>
      <right style="none">
        <color rgb="FF000000"/>
      </right>
      <top style="none">
        <color rgb="FF000000"/>
      </top>
      <bottom style="thin">
        <color rgb="FF95B3D7"/>
      </bottom>
      <extLst>
        <ext uri="smNativeData">
          <pm:border xmlns:pm="smNativeData" id="1780841053">
            <pm:line position="bottom" type="1" style="0" width="20" dist="20" width2="20" rgb="95B3D7"/>
          </pm:border>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thin">
        <color rgb="FF95B3D7"/>
      </top>
      <bottom style="none">
        <color rgb="FF000000"/>
      </bottom>
      <extLst>
        <ext uri="smNativeData">
          <pm:border xmlns:pm="smNativeData" id="1780841053">
            <pm:line position="top" type="1" style="0" width="20" dist="20" width2="20" rgb="95B3D7"/>
          </pm:border>
        </ext>
      </extLst>
    </border>
    <border>
      <left style="none">
        <color rgb="FF000000"/>
      </left>
      <right style="none">
        <color rgb="FF000000"/>
      </right>
      <top style="none">
        <color rgb="FF000000"/>
      </top>
      <bottom style="thin">
        <color rgb="FF95B3D7"/>
      </bottom>
      <extLst>
        <ext uri="smNativeData">
          <pm:border xmlns:pm="smNativeData" id="1780841053">
            <pm:line position="bottom" type="1" style="0" width="20" dist="20" width2="20" rgb="95B3D7"/>
          </pm:border>
        </ext>
      </extLst>
    </border>
    <border>
      <left style="none">
        <color rgb="FF000000"/>
      </left>
      <right style="none">
        <color rgb="FF000000"/>
      </right>
      <top style="thin">
        <color rgb="FF95B3D7"/>
      </top>
      <bottom style="none">
        <color rgb="FF000000"/>
      </bottom>
      <extLst>
        <ext uri="smNativeData">
          <pm:border xmlns:pm="smNativeData" id="1780841053">
            <pm:line position="top" type="1" style="0" width="20" dist="20" width2="20" rgb="95B3D7"/>
          </pm:border>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thin">
        <color rgb="FF92CDDC"/>
      </top>
      <bottom style="none">
        <color rgb="FF000000"/>
      </bottom>
      <extLst>
        <ext uri="smNativeData">
          <pm:border xmlns:pm="smNativeData" id="1780841053">
            <pm:line position="top" type="1" style="0" width="20" dist="20" width2="20" rgb="92CDDC"/>
          </pm:border>
        </ext>
      </extLst>
    </border>
    <border>
      <left style="none">
        <color rgb="FF000000"/>
      </left>
      <right style="none">
        <color rgb="FF000000"/>
      </right>
      <top style="none">
        <color rgb="FF000000"/>
      </top>
      <bottom style="thin">
        <color rgb="FF92CDDC"/>
      </bottom>
      <extLst>
        <ext uri="smNativeData">
          <pm:border xmlns:pm="smNativeData" id="1780841053">
            <pm:line position="bottom" type="1" style="0" width="20" dist="20" width2="20" rgb="92CDDC"/>
          </pm:border>
        </ext>
      </extLst>
    </border>
    <border>
      <left style="none">
        <color rgb="FF000000"/>
      </left>
      <right style="none">
        <color rgb="FF000000"/>
      </right>
      <top style="none">
        <color rgb="FF000000"/>
      </top>
      <bottom style="thin">
        <color rgb="FF92CDDC"/>
      </bottom>
      <extLst>
        <ext uri="smNativeData">
          <pm:border xmlns:pm="smNativeData" id="1780841053">
            <pm:line position="bottom" type="1" style="0" width="20" dist="20" width2="20" rgb="92CDDC"/>
          </pm:border>
        </ext>
      </extLst>
    </border>
    <border>
      <left style="none">
        <color rgb="FF000000"/>
      </left>
      <right style="none">
        <color rgb="FF000000"/>
      </right>
      <top style="thin">
        <color rgb="FF92CDDC"/>
      </top>
      <bottom style="none">
        <color rgb="FF000000"/>
      </bottom>
      <extLst>
        <ext uri="smNativeData">
          <pm:border xmlns:pm="smNativeData" id="1780841053">
            <pm:line position="top" type="1" style="0" width="20" dist="20" width2="20" rgb="92CDDC"/>
          </pm:border>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none">
        <color rgb="FF000000"/>
      </left>
      <right style="none">
        <color rgb="FF000000"/>
      </right>
      <top style="none">
        <color rgb="FF000000"/>
      </top>
      <bottom style="none">
        <color rgb="FF000000"/>
      </bottom>
      <extLst>
        <ext uri="smNativeData">
          <pm:border xmlns:pm="smNativeData" id="1780841053"/>
        </ext>
      </extLst>
    </border>
    <border>
      <left style="thin">
        <color rgb="FF000000"/>
      </left>
      <right style="none">
        <color rgb="FF000000"/>
      </right>
      <top style="thick">
        <color rgb="FF000000"/>
      </top>
      <bottom style="thin">
        <color rgb="FF000000"/>
      </bottom>
      <extLst>
        <ext uri="smNativeData">
          <pm:border xmlns:pm="smNativeData" id="1780841053">
            <pm:line position="top" type="1" style="0" width="4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border>
        </ext>
      </extLst>
    </border>
    <border>
      <left style="none">
        <color rgb="FF000000"/>
      </left>
      <right style="thick">
        <color rgb="FF000000"/>
      </right>
      <top style="thick">
        <color rgb="FF000000"/>
      </top>
      <bottom style="none">
        <color rgb="FF000000"/>
      </bottom>
      <extLst>
        <ext uri="smNativeData">
          <pm:border xmlns:pm="smNativeData" id="1780841053">
            <pm:line position="top" type="1" style="0" width="40" dist="20" width2="20" rgb="000000"/>
            <pm:line position="right" type="1" style="0" width="40" dist="20" width2="20" rgb="000000"/>
          </pm:border>
        </ext>
      </extLst>
    </border>
    <border>
      <left style="none">
        <color rgb="FF000000"/>
      </left>
      <right style="thick">
        <color rgb="FF000000"/>
      </right>
      <top style="none">
        <color rgb="FF000000"/>
      </top>
      <bottom style="none">
        <color rgb="FF000000"/>
      </bottom>
      <extLst>
        <ext uri="smNativeData">
          <pm:border xmlns:pm="smNativeData" id="1780841053">
            <pm:line position="right" type="1" style="0" width="40" dist="20" width2="20" rgb="000000"/>
          </pm:border>
        </ext>
      </extLst>
    </border>
    <border>
      <left style="none">
        <color rgb="FF000000"/>
      </left>
      <right style="thick">
        <color rgb="FF000000"/>
      </right>
      <top style="none">
        <color rgb="FF000000"/>
      </top>
      <bottom style="none">
        <color rgb="FF000000"/>
      </bottom>
      <extLst>
        <ext uri="smNativeData">
          <pm:border xmlns:pm="smNativeData" id="1780841053">
            <pm:line position="right" type="1" style="0" width="4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80841053">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none">
        <color rgb="FF000000"/>
      </right>
      <top style="thin">
        <color rgb="FF000000"/>
      </top>
      <bottom style="none">
        <color rgb="FF000000"/>
      </bottom>
      <extLst>
        <ext uri="smNativeData">
          <pm:border xmlns:pm="smNativeData" id="1780841053">
            <pm:line position="top" type="1" style="0" width="20" dist="20" width2="20" rgb="000000"/>
            <pm:line position="left" type="1" style="0" width="20" dist="20" width2="20" rgb="000000"/>
          </pm:border>
        </ext>
      </extLst>
    </border>
    <border>
      <left style="none">
        <color rgb="FF000000"/>
      </left>
      <right style="none">
        <color rgb="FF000000"/>
      </right>
      <top style="thin">
        <color rgb="FF000000"/>
      </top>
      <bottom style="none">
        <color rgb="FF000000"/>
      </bottom>
      <extLst>
        <ext uri="smNativeData">
          <pm:border xmlns:pm="smNativeData" id="1780841053">
            <pm:line position="top" type="1" style="0" width="20" dist="20" width2="20" rgb="000000"/>
          </pm:border>
        </ext>
      </extLst>
    </border>
    <border>
      <left style="none">
        <color rgb="FF000000"/>
      </left>
      <right style="none">
        <color rgb="FF000000"/>
      </right>
      <top style="thin">
        <color rgb="FF000000"/>
      </top>
      <bottom style="none">
        <color rgb="FF000000"/>
      </bottom>
      <extLst>
        <ext uri="smNativeData">
          <pm:border xmlns:pm="smNativeData" id="1780841053">
            <pm:line position="top" type="1" style="0" width="20" dist="20" width2="20" rgb="000000"/>
          </pm:border>
        </ext>
      </extLst>
    </border>
    <border>
      <left style="none">
        <color rgb="FF000000"/>
      </left>
      <right style="none">
        <color rgb="FF000000"/>
      </right>
      <top style="thin">
        <color rgb="FF000000"/>
      </top>
      <bottom style="none">
        <color rgb="FF000000"/>
      </bottom>
      <extLst>
        <ext uri="smNativeData">
          <pm:border xmlns:pm="smNativeData" id="1780841053">
            <pm:line position="top" type="1" style="0" width="20" dist="20" width2="20" rgb="000000"/>
          </pm:border>
        </ext>
      </extLst>
    </border>
    <border>
      <left style="none">
        <color rgb="FF000000"/>
      </left>
      <right style="none">
        <color rgb="FF000000"/>
      </right>
      <top style="thin">
        <color rgb="FF000000"/>
      </top>
      <bottom style="none">
        <color rgb="FF000000"/>
      </bottom>
      <extLst>
        <ext uri="smNativeData">
          <pm:border xmlns:pm="smNativeData" id="1780841053">
            <pm:line position="top" type="1" style="0" width="20" dist="20" width2="20" rgb="000000"/>
          </pm:border>
        </ext>
      </extLst>
    </border>
    <border>
      <left style="none">
        <color rgb="FF000000"/>
      </left>
      <right style="thin">
        <color rgb="FF000000"/>
      </right>
      <top style="thin">
        <color rgb="FF000000"/>
      </top>
      <bottom style="none">
        <color rgb="FF000000"/>
      </bottom>
      <extLst>
        <ext uri="smNativeData">
          <pm:border xmlns:pm="smNativeData" id="1780841053">
            <pm:line position="top" type="1" style="0" width="20" dist="20" width2="20" rgb="000000"/>
            <pm:line position="right" type="1" style="0" width="20" dist="20" width2="20" rgb="000000"/>
          </pm:border>
        </ext>
      </extLst>
    </border>
    <border>
      <left style="thin">
        <color rgb="FF000000"/>
      </left>
      <right style="none">
        <color rgb="FF000000"/>
      </right>
      <top style="none">
        <color rgb="FF000000"/>
      </top>
      <bottom style="none">
        <color rgb="FF000000"/>
      </bottom>
      <extLst>
        <ext uri="smNativeData">
          <pm:border xmlns:pm="smNativeData" id="1780841053">
            <pm:line position="left" type="1" style="0" width="20" dist="20" width2="20" rgb="000000"/>
          </pm:border>
        </ext>
      </extLst>
    </border>
    <border>
      <left style="none">
        <color rgb="FF000000"/>
      </left>
      <right style="thin">
        <color rgb="FF000000"/>
      </right>
      <top style="none">
        <color rgb="FF000000"/>
      </top>
      <bottom style="none">
        <color rgb="FF000000"/>
      </bottom>
      <extLst>
        <ext uri="smNativeData">
          <pm:border xmlns:pm="smNativeData" id="1780841053">
            <pm:line position="right"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line position="left" type="1" style="0" width="20" dist="20" width2="20" rgb="000000"/>
          </pm:border>
        </ext>
      </extLst>
    </border>
    <border>
      <left style="none">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border>
        </ext>
      </extLst>
    </border>
    <border>
      <left style="none">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border>
        </ext>
      </extLst>
    </border>
    <border>
      <left style="none">
        <color rgb="FF000000"/>
      </left>
      <right style="none">
        <color rgb="FF000000"/>
      </right>
      <top style="none">
        <color rgb="FF000000"/>
      </top>
      <bottom style="thin">
        <color rgb="FF000000"/>
      </bottom>
      <extLst>
        <ext uri="smNativeData">
          <pm:border xmlns:pm="smNativeData" id="1780841053">
            <pm:line position="bottom" type="1" style="0" width="20" dist="20" width2="20" rgb="000000"/>
          </pm:border>
        </ext>
      </extLst>
    </border>
    <border>
      <left style="none">
        <color rgb="FF000000"/>
      </left>
      <right style="thin">
        <color rgb="FF000000"/>
      </right>
      <top style="none">
        <color rgb="FF000000"/>
      </top>
      <bottom style="thin">
        <color rgb="FF000000"/>
      </bottom>
      <extLst>
        <ext uri="smNativeData">
          <pm:border xmlns:pm="smNativeData" id="1780841053">
            <pm:line position="bottom" type="1" style="0" width="20" dist="20" width2="20" rgb="000000"/>
            <pm:line position="right" type="1" style="0" width="20" dist="20" width2="20" rgb="000000"/>
          </pm:border>
        </ext>
      </extLst>
    </border>
  </borders>
  <cellStyleXfs count="2">
    <xf numFmtId="0" fontId="0" fillId="0" borderId="0" applyNumberFormat="1" applyFont="1" applyFill="1" applyBorder="1" applyAlignment="1" applyProtection="1"/>
    <xf numFmtId="164" fontId="4" fillId="0" borderId="0" applyNumberFormat="1" applyFont="0" applyFill="0" applyBorder="0" applyAlignment="0" applyProtection="0"/>
  </cellStyleXfs>
  <cellXfs count="445">
    <xf numFmtId="0" fontId="0" fillId="0" borderId="0" xfId="0"/>
    <xf numFmtId="164" fontId="4" fillId="0" borderId="0" xfId="1"/>
    <xf numFmtId="0" fontId="3" fillId="0" borderId="0" xfId="0" applyFont="1"/>
    <xf numFmtId="0" fontId="2" fillId="0" borderId="0" xfId="0" applyFont="1" applyAlignment="1">
      <alignment horizontal="left"/>
    </xf>
    <xf numFmtId="0" fontId="1" fillId="0" borderId="0" xfId="0" applyFont="1" applyAlignment="1">
      <alignment horizontal="left"/>
    </xf>
    <xf numFmtId="0" fontId="4" fillId="0" borderId="1" xfId="0" applyFont="1" applyBorder="1"/>
    <xf numFmtId="164" fontId="4" fillId="0" borderId="1" xfId="1" applyBorder="1"/>
    <xf numFmtId="0" fontId="5" fillId="3" borderId="2" xfId="0" applyFont="1" applyFill="1"/>
    <xf numFmtId="0" fontId="0" fillId="0" borderId="1" xfId="0" applyBorder="1"/>
    <xf numFmtId="0" fontId="5" fillId="0" borderId="0" xfId="0" applyFont="1"/>
    <xf numFmtId="0" fontId="0" fillId="0" borderId="0" xfId="0" applyAlignment="1">
      <alignment wrapText="1"/>
    </xf>
    <xf numFmtId="0" fontId="6" fillId="0" borderId="0" xfId="0" applyFont="1"/>
    <xf numFmtId="4" fontId="0" fillId="0" borderId="1" xfId="0" applyNumberFormat="1" applyBorder="1"/>
    <xf numFmtId="4" fontId="0" fillId="4" borderId="3" xfId="0" applyNumberFormat="1" applyFill="1" applyBorder="1"/>
    <xf numFmtId="0" fontId="7" fillId="5" borderId="4" xfId="0" applyFont="1" applyFill="1" applyBorder="1" applyAlignment="1">
      <alignment horizontal="center"/>
    </xf>
    <xf numFmtId="0" fontId="7" fillId="6" borderId="5" xfId="0" applyFont="1" applyFill="1" applyBorder="1" applyAlignment="1">
      <alignment horizontal="center"/>
    </xf>
    <xf numFmtId="0" fontId="7" fillId="7" borderId="6" xfId="0" applyFont="1" applyFill="1" applyBorder="1" applyAlignment="1">
      <alignment horizontal="center"/>
    </xf>
    <xf numFmtId="0" fontId="8" fillId="8" borderId="7" xfId="0" applyFont="1" applyFill="1" applyBorder="1" applyAlignment="1">
      <alignment horizontal="center"/>
    </xf>
    <xf numFmtId="0" fontId="8" fillId="9" borderId="8" xfId="0" applyFont="1" applyFill="1" applyBorder="1" applyAlignment="1">
      <alignment horizontal="center"/>
    </xf>
    <xf numFmtId="4" fontId="8" fillId="9" borderId="8" xfId="0" applyNumberFormat="1" applyFont="1" applyFill="1" applyBorder="1" applyAlignment="1">
      <alignment horizontal="center"/>
    </xf>
    <xf numFmtId="0" fontId="0" fillId="0" borderId="0" xfId="0" applyAlignment="1">
      <alignment horizontal="center"/>
    </xf>
    <xf numFmtId="0" fontId="0" fillId="10" borderId="9" xfId="0" applyFill="1" applyBorder="1" applyAlignment="1">
      <alignment horizontal="center"/>
    </xf>
    <xf numFmtId="0" fontId="0" fillId="0" borderId="10" xfId="0" applyBorder="1" applyAlignment="1">
      <alignment horizontal="center"/>
    </xf>
    <xf numFmtId="0" fontId="0" fillId="0" borderId="0" xfId="0" applyAlignment="1">
      <alignment horizontal="left"/>
    </xf>
    <xf numFmtId="0" fontId="5" fillId="0" borderId="0" xfId="0" applyFont="1" applyAlignment="1">
      <alignment horizontal="left"/>
    </xf>
    <xf numFmtId="0" fontId="7" fillId="6" borderId="5" xfId="0" applyFont="1" applyFill="1" applyBorder="1" applyAlignment="1">
      <alignment horizontal="left"/>
    </xf>
    <xf numFmtId="0" fontId="5" fillId="4" borderId="3" xfId="0" applyFont="1" applyFill="1" applyBorder="1" applyAlignment="1">
      <alignment horizontal="left"/>
    </xf>
    <xf numFmtId="0" fontId="5" fillId="12" borderId="11" xfId="0" applyFont="1" applyFill="1" applyBorder="1" applyAlignment="1">
      <alignment horizontal="left"/>
    </xf>
    <xf numFmtId="0" fontId="5" fillId="13" borderId="12" xfId="0" applyFont="1" applyFill="1" applyBorder="1" applyAlignment="1">
      <alignment horizontal="left"/>
    </xf>
    <xf numFmtId="0" fontId="5" fillId="14" borderId="13" xfId="0" applyFont="1" applyFill="1" applyBorder="1" applyAlignment="1">
      <alignment horizontal="left"/>
    </xf>
    <xf numFmtId="0" fontId="5" fillId="0" borderId="1" xfId="0" applyFont="1" applyBorder="1" applyAlignment="1">
      <alignment horizontal="left"/>
    </xf>
    <xf numFmtId="0" fontId="10" fillId="15" borderId="14" xfId="0" applyFont="1" applyFill="1" applyBorder="1" applyAlignment="1">
      <alignment horizontal="center" wrapText="1"/>
    </xf>
    <xf numFmtId="0" fontId="10" fillId="16" borderId="15" xfId="0" applyFont="1" applyFill="1" applyBorder="1" applyAlignment="1">
      <alignment horizontal="left" wrapText="1"/>
    </xf>
    <xf numFmtId="0" fontId="10" fillId="16" borderId="15" xfId="0" applyFont="1" applyFill="1" applyBorder="1" applyAlignment="1">
      <alignment wrapText="1"/>
    </xf>
    <xf numFmtId="0" fontId="10" fillId="17" borderId="16" xfId="0" applyFont="1" applyFill="1" applyBorder="1" applyAlignment="1">
      <alignment wrapText="1"/>
    </xf>
    <xf numFmtId="0" fontId="6" fillId="0" borderId="0" xfId="0" applyFont="1" applyAlignment="1">
      <alignment horizontal="left"/>
    </xf>
    <xf numFmtId="0" fontId="11" fillId="0" borderId="0" xfId="0" applyFont="1" applyAlignment="1">
      <alignment horizontal="center"/>
    </xf>
    <xf numFmtId="0" fontId="11"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17" fillId="18" borderId="17" xfId="0" applyFont="1" applyFill="1" applyAlignment="1">
      <alignment horizontal="center" vertical="center" wrapText="1"/>
    </xf>
    <xf numFmtId="0" fontId="7" fillId="19" borderId="18"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wrapText="1"/>
    </xf>
    <xf numFmtId="0" fontId="7" fillId="20" borderId="19" xfId="0" applyFont="1" applyFill="1" applyBorder="1" applyAlignment="1">
      <alignment horizontal="center" wrapText="1"/>
    </xf>
    <xf numFmtId="2" fontId="0" fillId="0" borderId="0" xfId="0" applyNumberFormat="1"/>
    <xf numFmtId="2" fontId="7" fillId="19" borderId="18" xfId="0" applyNumberFormat="1" applyFont="1" applyFill="1" applyAlignment="1">
      <alignment horizontal="center" vertical="center" wrapText="1"/>
    </xf>
    <xf numFmtId="2" fontId="17" fillId="18" borderId="17" xfId="0" applyNumberFormat="1" applyFont="1" applyFill="1" applyAlignment="1">
      <alignment horizontal="center" vertical="center" wrapText="1"/>
    </xf>
    <xf numFmtId="2" fontId="16" fillId="18" borderId="17" xfId="0" applyNumberFormat="1" applyFont="1" applyFill="1" applyAlignment="1">
      <alignment horizontal="center" vertical="center" wrapText="1"/>
    </xf>
    <xf numFmtId="2" fontId="7" fillId="20" borderId="19" xfId="0" applyNumberFormat="1" applyFont="1" applyFill="1" applyBorder="1" applyAlignment="1">
      <alignment horizontal="center" wrapText="1"/>
    </xf>
    <xf numFmtId="2" fontId="0" fillId="0" borderId="1" xfId="0" applyNumberFormat="1" applyBorder="1" applyAlignment="1">
      <alignment horizontal="center"/>
    </xf>
    <xf numFmtId="0" fontId="8" fillId="0" borderId="0" xfId="0" applyFont="1" applyAlignment="1">
      <alignment horizontal="center" vertical="center"/>
    </xf>
    <xf numFmtId="0" fontId="18" fillId="0" borderId="0" xfId="0" applyFont="1"/>
    <xf numFmtId="0" fontId="16" fillId="0" borderId="0" xfId="0" applyFont="1" applyAlignment="1">
      <alignment wrapText="1"/>
    </xf>
    <xf numFmtId="0" fontId="8" fillId="21" borderId="20" xfId="0" applyFont="1" applyFill="1" applyBorder="1" applyAlignment="1">
      <alignment horizontal="center" vertical="center"/>
    </xf>
    <xf numFmtId="0" fontId="8" fillId="21" borderId="20" xfId="0" applyFont="1" applyFill="1" applyBorder="1" applyAlignment="1">
      <alignment horizontal="center" vertical="center" wrapText="1"/>
    </xf>
    <xf numFmtId="0" fontId="0" fillId="0" borderId="1" xfId="0" applyBorder="1" applyAlignment="1">
      <alignment horizontal="center" vertical="center"/>
    </xf>
    <xf numFmtId="2"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22" borderId="21" xfId="0" applyFill="1" applyBorder="1" applyAlignment="1">
      <alignment horizontal="center" vertical="center"/>
    </xf>
    <xf numFmtId="0" fontId="0" fillId="13" borderId="12" xfId="0" applyFill="1" applyBorder="1" applyAlignment="1">
      <alignment horizontal="center" vertical="center"/>
    </xf>
    <xf numFmtId="0" fontId="19" fillId="23" borderId="22" xfId="0" applyFont="1" applyFill="1" applyAlignment="1">
      <alignment horizontal="center"/>
    </xf>
    <xf numFmtId="0" fontId="19" fillId="23" borderId="22" xfId="0" applyFont="1" applyFill="1" applyAlignment="1">
      <alignment horizontal="center" wrapText="1"/>
    </xf>
    <xf numFmtId="0" fontId="0" fillId="24" borderId="23" xfId="0" applyFill="1" applyBorder="1" applyAlignment="1">
      <alignment horizontal="center" vertical="center"/>
    </xf>
    <xf numFmtId="2" fontId="0" fillId="0" borderId="1" xfId="0" applyNumberFormat="1" applyBorder="1" applyAlignment="1">
      <alignment horizontal="center" vertical="center" wrapText="1"/>
    </xf>
    <xf numFmtId="10" fontId="0" fillId="0" borderId="1" xfId="0" applyNumberFormat="1" applyBorder="1" applyAlignment="1">
      <alignment horizontal="center" vertical="center" wrapText="1"/>
    </xf>
    <xf numFmtId="0" fontId="0" fillId="13" borderId="12" xfId="0" applyFill="1" applyBorder="1" applyAlignment="1">
      <alignment horizontal="center" vertical="center" wrapText="1"/>
    </xf>
    <xf numFmtId="0" fontId="0" fillId="22" borderId="21" xfId="0" applyFill="1" applyBorder="1" applyAlignment="1">
      <alignment horizontal="center" vertical="center" wrapText="1"/>
    </xf>
    <xf numFmtId="0" fontId="8" fillId="25" borderId="24" xfId="0" applyFont="1" applyFill="1" applyBorder="1" applyAlignment="1">
      <alignment horizontal="center" vertical="center" wrapText="1"/>
    </xf>
    <xf numFmtId="2" fontId="8" fillId="25" borderId="24" xfId="0" applyNumberFormat="1" applyFont="1" applyFill="1" applyBorder="1" applyAlignment="1">
      <alignment horizontal="center" vertical="center" wrapText="1"/>
    </xf>
    <xf numFmtId="0" fontId="13" fillId="26" borderId="25" xfId="0" applyFont="1" applyFill="1" applyBorder="1"/>
    <xf numFmtId="0" fontId="16" fillId="22" borderId="21" xfId="0" applyFont="1" applyFill="1" applyBorder="1"/>
    <xf numFmtId="0" fontId="12" fillId="26" borderId="25" xfId="0" applyFont="1" applyFill="1" applyBorder="1" applyAlignment="1">
      <alignment horizontal="center"/>
    </xf>
    <xf numFmtId="0" fontId="12" fillId="26" borderId="25" xfId="0" applyFont="1" applyFill="1" applyBorder="1" applyAlignment="1">
      <alignment horizontal="center" wrapText="1"/>
    </xf>
    <xf numFmtId="0" fontId="14" fillId="26" borderId="25" xfId="0" applyFont="1" applyFill="1" applyBorder="1" applyAlignment="1">
      <alignment wrapText="1"/>
    </xf>
    <xf numFmtId="0" fontId="15" fillId="27" borderId="26" xfId="0" applyFont="1" applyFill="1" applyBorder="1" applyAlignment="1">
      <alignment horizontal="center"/>
    </xf>
    <xf numFmtId="0" fontId="15" fillId="27" borderId="26" xfId="0" applyFont="1" applyFill="1" applyBorder="1" applyAlignment="1">
      <alignment horizontal="center" wrapText="1"/>
    </xf>
    <xf numFmtId="0" fontId="16" fillId="27" borderId="26" xfId="0" applyFont="1" applyFill="1" applyBorder="1" applyAlignment="1">
      <alignment wrapText="1"/>
    </xf>
    <xf numFmtId="0" fontId="7" fillId="28" borderId="27" xfId="0" applyFont="1" applyFill="1" applyAlignment="1">
      <alignment horizontal="center" vertical="center"/>
    </xf>
    <xf numFmtId="0" fontId="7" fillId="28" borderId="27" xfId="0" applyFont="1" applyFill="1" applyAlignment="1">
      <alignment horizontal="center" vertical="center" wrapText="1"/>
    </xf>
    <xf numFmtId="0" fontId="8" fillId="29" borderId="28" xfId="0" applyFont="1" applyFill="1" applyBorder="1" applyAlignment="1">
      <alignment horizontal="center" vertical="center"/>
    </xf>
    <xf numFmtId="0" fontId="0" fillId="30" borderId="29" xfId="0" applyFill="1" applyBorder="1" applyAlignment="1">
      <alignment horizontal="center" vertical="center" wrapText="1"/>
    </xf>
    <xf numFmtId="0" fontId="0" fillId="31" borderId="30" xfId="0" applyFill="1" applyBorder="1" applyAlignment="1">
      <alignment horizontal="center" vertical="center" wrapText="1"/>
    </xf>
    <xf numFmtId="0" fontId="0" fillId="32" borderId="31" xfId="0" applyFill="1" applyBorder="1" applyAlignment="1">
      <alignment horizontal="center" vertical="center" wrapText="1"/>
    </xf>
    <xf numFmtId="0" fontId="20" fillId="0" borderId="0" xfId="0" applyFont="1" applyAlignment="1">
      <alignment horizontal="center" vertical="center"/>
    </xf>
    <xf numFmtId="0" fontId="21" fillId="33" borderId="32" xfId="0" applyFont="1" applyFill="1" applyBorder="1" applyAlignment="1">
      <alignment horizontal="center" vertical="center"/>
    </xf>
    <xf numFmtId="0" fontId="22" fillId="21" borderId="20" xfId="0" applyFont="1" applyFill="1" applyBorder="1" applyAlignment="1">
      <alignment horizontal="center" vertical="center" wrapText="1"/>
    </xf>
    <xf numFmtId="3" fontId="0" fillId="0" borderId="1" xfId="0" applyNumberFormat="1" applyBorder="1" applyAlignment="1">
      <alignment horizontal="center" vertical="center" wrapText="1"/>
    </xf>
    <xf numFmtId="0" fontId="21" fillId="34" borderId="33" xfId="0" applyFont="1" applyFill="1" applyBorder="1" applyAlignment="1">
      <alignment horizontal="center" vertical="center"/>
    </xf>
    <xf numFmtId="0" fontId="0" fillId="0" borderId="0" xfId="0" applyAlignment="1">
      <alignment horizontal="right"/>
    </xf>
    <xf numFmtId="4" fontId="0" fillId="0" borderId="1" xfId="0" applyNumberFormat="1" applyBorder="1" applyAlignment="1">
      <alignment horizontal="right" vertical="center"/>
    </xf>
    <xf numFmtId="0" fontId="0" fillId="35" borderId="34" xfId="0" applyFill="1" applyAlignment="1">
      <alignment wrapText="1"/>
    </xf>
    <xf numFmtId="0" fontId="22" fillId="34" borderId="33" xfId="0" applyFont="1" applyFill="1" applyBorder="1" applyAlignment="1">
      <alignment horizontal="center" vertical="center" wrapText="1"/>
    </xf>
    <xf numFmtId="0" fontId="0" fillId="36" borderId="35" xfId="0" applyFill="1" applyBorder="1" applyAlignment="1">
      <alignment horizontal="center" vertical="center" wrapText="1"/>
    </xf>
    <xf numFmtId="3" fontId="0" fillId="36" borderId="35" xfId="0" applyNumberFormat="1" applyFill="1" applyBorder="1" applyAlignment="1">
      <alignment horizontal="center" vertical="center" wrapText="1"/>
    </xf>
    <xf numFmtId="0" fontId="23" fillId="37" borderId="36" xfId="0" applyFont="1" applyFill="1" applyBorder="1" applyAlignment="1">
      <alignment horizontal="center" vertical="center"/>
    </xf>
    <xf numFmtId="0" fontId="5" fillId="38" borderId="37" xfId="0" applyFont="1" applyFill="1" applyBorder="1" applyAlignment="1">
      <alignment horizontal="center" vertical="center"/>
    </xf>
    <xf numFmtId="0" fontId="8" fillId="34" borderId="33" xfId="0" applyFont="1" applyFill="1" applyBorder="1" applyAlignment="1">
      <alignment horizontal="center" vertical="center" wrapText="1"/>
    </xf>
    <xf numFmtId="0" fontId="7" fillId="33" borderId="32" xfId="0" applyFont="1" applyFill="1" applyBorder="1" applyAlignment="1">
      <alignment horizontal="center" vertical="center"/>
    </xf>
    <xf numFmtId="0" fontId="23" fillId="38" borderId="37" xfId="0" applyFont="1" applyFill="1" applyBorder="1"/>
    <xf numFmtId="0" fontId="0" fillId="0" borderId="1" xfId="0" applyBorder="1" applyAlignment="1">
      <alignment horizontal="left" vertical="center" wrapText="1"/>
    </xf>
    <xf numFmtId="3" fontId="0" fillId="39" borderId="38" xfId="0" applyNumberFormat="1" applyFill="1" applyBorder="1" applyAlignment="1">
      <alignment horizontal="center" vertical="center" wrapText="1"/>
    </xf>
    <xf numFmtId="0" fontId="0" fillId="39" borderId="38" xfId="0" applyFill="1" applyBorder="1" applyAlignment="1">
      <alignment horizontal="left" vertical="center" wrapText="1"/>
    </xf>
    <xf numFmtId="0" fontId="17" fillId="38" borderId="37" xfId="0" applyFont="1" applyFill="1" applyBorder="1" applyAlignment="1">
      <alignment horizontal="center" vertical="center" wrapText="1"/>
    </xf>
    <xf numFmtId="0" fontId="8" fillId="40" borderId="39" xfId="0" applyFont="1" applyFill="1" applyBorder="1" applyAlignment="1">
      <alignment horizontal="center" vertical="center" wrapText="1"/>
    </xf>
    <xf numFmtId="0" fontId="24" fillId="29" borderId="28" xfId="0" applyFont="1" applyFill="1" applyBorder="1" applyAlignment="1">
      <alignment horizontal="center" vertical="center"/>
    </xf>
    <xf numFmtId="0" fontId="23" fillId="38" borderId="37" xfId="0" applyFont="1" applyFill="1" applyBorder="1" applyAlignment="1">
      <alignment horizontal="center" vertical="center"/>
    </xf>
    <xf numFmtId="167" fontId="0" fillId="0" borderId="1" xfId="0" applyNumberFormat="1" applyBorder="1" applyAlignment="1">
      <alignment horizontal="center" vertical="center"/>
    </xf>
    <xf numFmtId="167" fontId="0" fillId="36" borderId="35" xfId="0" applyNumberFormat="1" applyFill="1" applyBorder="1" applyAlignment="1">
      <alignment horizontal="center" vertical="center"/>
    </xf>
    <xf numFmtId="3" fontId="0" fillId="0" borderId="1" xfId="0" applyNumberFormat="1" applyBorder="1" applyAlignment="1">
      <alignment horizontal="center" vertical="center"/>
    </xf>
    <xf numFmtId="3" fontId="0" fillId="36" borderId="35" xfId="0" applyNumberFormat="1" applyFill="1" applyBorder="1" applyAlignment="1">
      <alignment horizontal="center" vertical="center"/>
    </xf>
    <xf numFmtId="0" fontId="18" fillId="24" borderId="23" xfId="0" applyFont="1" applyFill="1" applyBorder="1" applyAlignment="1">
      <alignment horizontal="center" vertical="center" wrapText="1"/>
    </xf>
    <xf numFmtId="0" fontId="0" fillId="24" borderId="23" xfId="0" applyFill="1" applyBorder="1" applyAlignment="1">
      <alignment wrapText="1"/>
    </xf>
    <xf numFmtId="0" fontId="0" fillId="24" borderId="23" xfId="0" applyFill="1" applyBorder="1" applyAlignment="1">
      <alignment horizontal="left" vertical="center" wrapText="1"/>
    </xf>
    <xf numFmtId="0" fontId="12" fillId="41" borderId="40" xfId="0" applyFont="1" applyFill="1" applyBorder="1" applyAlignment="1">
      <alignment horizontal="center" vertical="center"/>
    </xf>
    <xf numFmtId="0" fontId="8" fillId="42" borderId="41" xfId="0" applyFont="1" applyFill="1" applyBorder="1" applyAlignment="1">
      <alignment horizontal="center" vertical="center"/>
    </xf>
    <xf numFmtId="0" fontId="8" fillId="43" borderId="42" xfId="0" applyFont="1" applyFill="1" applyBorder="1" applyAlignment="1">
      <alignment horizontal="center" vertical="center"/>
    </xf>
    <xf numFmtId="0" fontId="8" fillId="34" borderId="33" xfId="0" applyFont="1" applyFill="1" applyBorder="1" applyAlignment="1">
      <alignment horizontal="center" vertical="center"/>
    </xf>
    <xf numFmtId="0" fontId="16" fillId="24" borderId="23" xfId="0" applyFont="1" applyFill="1" applyBorder="1" applyAlignment="1">
      <alignment horizontal="center" vertical="center" wrapText="1"/>
    </xf>
    <xf numFmtId="0" fontId="18" fillId="44" borderId="43" xfId="0" applyFont="1" applyFill="1" applyBorder="1" applyAlignment="1">
      <alignment horizontal="center" vertical="center" wrapText="1"/>
    </xf>
    <xf numFmtId="0" fontId="5" fillId="0" borderId="1" xfId="0" applyFont="1" applyBorder="1" applyAlignment="1">
      <alignment horizontal="center" vertical="center"/>
    </xf>
    <xf numFmtId="0" fontId="5" fillId="36" borderId="35" xfId="0" applyFont="1" applyFill="1" applyBorder="1" applyAlignment="1">
      <alignment horizontal="center" vertical="center"/>
    </xf>
    <xf numFmtId="0" fontId="5" fillId="0" borderId="1" xfId="0" applyFont="1" applyBorder="1" applyAlignment="1">
      <alignment horizontal="center" vertical="center" wrapText="1"/>
    </xf>
    <xf numFmtId="0" fontId="5" fillId="39" borderId="38" xfId="0" applyFont="1" applyFill="1" applyBorder="1" applyAlignment="1">
      <alignment horizontal="center" vertical="center" wrapText="1"/>
    </xf>
    <xf numFmtId="0" fontId="5" fillId="36" borderId="35" xfId="0" applyFont="1" applyFill="1" applyBorder="1" applyAlignment="1">
      <alignment horizontal="center" vertical="center" wrapText="1"/>
    </xf>
    <xf numFmtId="0" fontId="5" fillId="0" borderId="1" xfId="0" applyFont="1" applyBorder="1" applyAlignment="1">
      <alignment horizontal="center"/>
    </xf>
    <xf numFmtId="0" fontId="5" fillId="39" borderId="38" xfId="0" applyFont="1" applyFill="1" applyBorder="1" applyAlignment="1">
      <alignment horizontal="center"/>
    </xf>
    <xf numFmtId="2" fontId="0" fillId="39" borderId="38" xfId="0" applyNumberFormat="1" applyFill="1" applyBorder="1" applyAlignment="1">
      <alignment horizontal="center"/>
    </xf>
    <xf numFmtId="0" fontId="0" fillId="39" borderId="38" xfId="0" applyFill="1" applyBorder="1" applyAlignment="1">
      <alignment horizontal="center" vertical="center" wrapText="1"/>
    </xf>
    <xf numFmtId="0" fontId="0" fillId="39" borderId="38" xfId="0" applyFill="1" applyBorder="1" applyAlignment="1">
      <alignment horizontal="center" vertical="center"/>
    </xf>
    <xf numFmtId="2" fontId="0" fillId="39" borderId="38" xfId="0" applyNumberFormat="1" applyFill="1" applyBorder="1" applyAlignment="1">
      <alignment horizontal="center" vertical="center"/>
    </xf>
    <xf numFmtId="0" fontId="5" fillId="39" borderId="38" xfId="0" applyFont="1" applyFill="1" applyBorder="1" applyAlignment="1">
      <alignment horizontal="center" vertical="center"/>
    </xf>
    <xf numFmtId="0" fontId="25" fillId="0" borderId="1" xfId="0" applyFont="1" applyBorder="1" applyAlignment="1">
      <alignment horizontal="center" vertical="center" wrapText="1"/>
    </xf>
    <xf numFmtId="0" fontId="0" fillId="0" borderId="1" xfId="0" applyBorder="1" applyAlignment="1">
      <alignment wrapText="1"/>
    </xf>
    <xf numFmtId="0" fontId="26" fillId="33" borderId="32" xfId="0" applyFont="1" applyFill="1" applyBorder="1" applyAlignment="1">
      <alignment horizontal="center" vertical="center" wrapText="1"/>
    </xf>
    <xf numFmtId="0" fontId="26" fillId="33" borderId="32" xfId="0" applyFont="1" applyFill="1" applyBorder="1" applyAlignment="1">
      <alignment horizontal="center" vertical="center"/>
    </xf>
    <xf numFmtId="0" fontId="7" fillId="34" borderId="33" xfId="0" applyFont="1" applyFill="1" applyBorder="1"/>
    <xf numFmtId="0" fontId="27" fillId="29" borderId="28" xfId="0" applyFont="1" applyFill="1" applyBorder="1"/>
    <xf numFmtId="0" fontId="9" fillId="29" borderId="28" xfId="0" applyFont="1" applyFill="1" applyBorder="1"/>
    <xf numFmtId="0" fontId="9" fillId="29" borderId="28" xfId="0" applyFont="1" applyFill="1" applyBorder="1" applyAlignment="1">
      <alignment horizontal="left"/>
    </xf>
    <xf numFmtId="0" fontId="27" fillId="29" borderId="28" xfId="0" applyFont="1" applyFill="1" applyBorder="1" applyAlignment="1">
      <alignment horizontal="center" vertical="center"/>
    </xf>
    <xf numFmtId="0" fontId="0" fillId="0" borderId="1" xfId="0" applyBorder="1" applyAlignment="1">
      <alignment horizontal="right" vertical="center"/>
    </xf>
    <xf numFmtId="0" fontId="0" fillId="0" borderId="1" xfId="0" applyBorder="1" applyAlignment="1">
      <alignment horizontal="left" vertical="center"/>
    </xf>
    <xf numFmtId="0" fontId="0" fillId="13" borderId="12" xfId="0" applyFill="1" applyBorder="1"/>
    <xf numFmtId="10" fontId="0" fillId="13" borderId="12" xfId="0" applyNumberFormat="1" applyFill="1" applyBorder="1"/>
    <xf numFmtId="0" fontId="0" fillId="24" borderId="23" xfId="0" applyFill="1" applyBorder="1"/>
    <xf numFmtId="0" fontId="7" fillId="40" borderId="39" xfId="0" applyFont="1" applyFill="1" applyBorder="1" applyAlignment="1">
      <alignment horizontal="center" vertical="center"/>
    </xf>
    <xf numFmtId="0" fontId="7" fillId="45" borderId="44" xfId="0" applyFont="1" applyFill="1" applyBorder="1" applyAlignment="1">
      <alignment horizontal="center"/>
    </xf>
    <xf numFmtId="0" fontId="7" fillId="46" borderId="45" xfId="0" applyFont="1" applyFill="1" applyBorder="1" applyAlignment="1">
      <alignment horizontal="center"/>
    </xf>
    <xf numFmtId="0" fontId="8" fillId="29" borderId="28" xfId="0" applyFont="1" applyFill="1" applyBorder="1" applyAlignment="1">
      <alignment horizontal="right"/>
    </xf>
    <xf numFmtId="0" fontId="14" fillId="0" borderId="0" xfId="0" applyFont="1" applyAlignment="1">
      <alignment horizontal="left"/>
    </xf>
    <xf numFmtId="0" fontId="6" fillId="47" borderId="46" xfId="0" applyFont="1" applyFill="1"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165" fontId="8" fillId="29" borderId="28" xfId="0" applyNumberFormat="1" applyFont="1" applyFill="1" applyBorder="1" applyAlignment="1">
      <alignment horizontal="center" vertical="center"/>
    </xf>
    <xf numFmtId="166" fontId="8" fillId="29" borderId="28" xfId="0" applyNumberFormat="1" applyFont="1" applyFill="1" applyBorder="1" applyAlignment="1">
      <alignment horizontal="center" vertical="center"/>
    </xf>
    <xf numFmtId="167" fontId="0" fillId="22" borderId="21" xfId="0" applyNumberFormat="1" applyFill="1" applyBorder="1" applyAlignment="1">
      <alignment horizontal="center" vertical="center"/>
    </xf>
    <xf numFmtId="167" fontId="0" fillId="13" borderId="12" xfId="0" applyNumberFormat="1" applyFill="1" applyBorder="1" applyAlignment="1">
      <alignment horizontal="center" vertical="center"/>
    </xf>
    <xf numFmtId="0" fontId="13" fillId="29" borderId="28" xfId="0" applyFont="1" applyFill="1" applyBorder="1" applyAlignment="1">
      <alignment horizontal="center" vertical="center"/>
    </xf>
    <xf numFmtId="165" fontId="13" fillId="29" borderId="28" xfId="0" applyNumberFormat="1" applyFont="1" applyFill="1" applyBorder="1" applyAlignment="1">
      <alignment horizontal="center" vertical="center"/>
    </xf>
    <xf numFmtId="0" fontId="5" fillId="0" borderId="1" xfId="0" applyFont="1" applyBorder="1" applyAlignment="1">
      <alignment horizontal="left" vertical="center"/>
    </xf>
    <xf numFmtId="0" fontId="5" fillId="22" borderId="21" xfId="0" applyFont="1" applyFill="1" applyBorder="1" applyAlignment="1">
      <alignment horizontal="left" vertical="center"/>
    </xf>
    <xf numFmtId="0" fontId="5" fillId="22" borderId="21" xfId="0" applyFont="1" applyFill="1" applyBorder="1" applyAlignment="1">
      <alignment horizontal="left" vertical="center" wrapText="1"/>
    </xf>
    <xf numFmtId="0" fontId="0" fillId="24" borderId="23" xfId="0" applyFill="1" applyBorder="1" applyAlignment="1">
      <alignment horizontal="center" vertical="center" wrapText="1"/>
    </xf>
    <xf numFmtId="0" fontId="0" fillId="48" borderId="47" xfId="0" applyFill="1" applyBorder="1" applyAlignment="1">
      <alignment horizontal="center"/>
    </xf>
    <xf numFmtId="4" fontId="0" fillId="12" borderId="11" xfId="0" applyNumberFormat="1" applyFill="1" applyBorder="1"/>
    <xf numFmtId="0" fontId="0" fillId="49" borderId="48" xfId="0" applyFill="1" applyBorder="1" applyAlignment="1">
      <alignment horizontal="center"/>
    </xf>
    <xf numFmtId="4" fontId="0" fillId="13" borderId="12" xfId="0" applyNumberFormat="1" applyFill="1" applyBorder="1"/>
    <xf numFmtId="0" fontId="0" fillId="50" borderId="49" xfId="0" applyFill="1" applyBorder="1" applyAlignment="1">
      <alignment horizontal="center"/>
    </xf>
    <xf numFmtId="4" fontId="0" fillId="14" borderId="13" xfId="0" applyNumberFormat="1" applyFill="1" applyBorder="1"/>
    <xf numFmtId="0" fontId="5" fillId="51" borderId="50" xfId="0" applyFont="1" applyFill="1" applyBorder="1" applyAlignment="1">
      <alignment horizontal="left" vertical="center"/>
    </xf>
    <xf numFmtId="0" fontId="0" fillId="51" borderId="50" xfId="0" applyFill="1" applyBorder="1" applyAlignment="1">
      <alignment horizontal="center" vertical="center"/>
    </xf>
    <xf numFmtId="0" fontId="12" fillId="0" borderId="51" xfId="0" applyFont="1" applyBorder="1" applyAlignment="1">
      <alignment horizontal="center" vertical="center"/>
    </xf>
    <xf numFmtId="0" fontId="0" fillId="0" borderId="51" xfId="0" applyBorder="1" applyAlignment="1">
      <alignment horizontal="center" wrapText="1"/>
    </xf>
    <xf numFmtId="0" fontId="0" fillId="0" borderId="51" xfId="0" applyBorder="1" applyAlignment="1">
      <alignment horizontal="left" wrapText="1"/>
    </xf>
    <xf numFmtId="0" fontId="0" fillId="0" borderId="51" xfId="0" applyBorder="1" applyAlignment="1">
      <alignment wrapText="1"/>
    </xf>
    <xf numFmtId="0" fontId="0" fillId="0" borderId="52" xfId="0" applyBorder="1" applyAlignment="1">
      <alignment wrapText="1"/>
    </xf>
    <xf numFmtId="0" fontId="0" fillId="0" borderId="52" xfId="0" applyBorder="1" applyAlignment="1">
      <alignment horizontal="left" wrapText="1"/>
    </xf>
    <xf numFmtId="0" fontId="0" fillId="0" borderId="53" xfId="0" applyBorder="1"/>
    <xf numFmtId="0" fontId="0" fillId="0" borderId="54" xfId="0" applyBorder="1"/>
    <xf numFmtId="0" fontId="0" fillId="0" borderId="54" xfId="0" applyBorder="1" applyAlignment="1">
      <alignment horizontal="center"/>
    </xf>
    <xf numFmtId="0" fontId="5" fillId="0" borderId="55" xfId="0" applyFont="1" applyBorder="1" applyAlignment="1">
      <alignment horizontal="left"/>
    </xf>
    <xf numFmtId="0" fontId="0" fillId="0" borderId="55" xfId="0" applyBorder="1" applyAlignment="1">
      <alignment horizontal="left"/>
    </xf>
    <xf numFmtId="0" fontId="0" fillId="0" borderId="56" xfId="0" applyBorder="1"/>
    <xf numFmtId="0" fontId="0" fillId="0" borderId="51" xfId="0" applyBorder="1"/>
    <xf numFmtId="0" fontId="0" fillId="0" borderId="52" xfId="0" applyBorder="1"/>
    <xf numFmtId="0" fontId="0" fillId="0" borderId="52" xfId="0" applyBorder="1" applyAlignment="1">
      <alignment horizontal="center"/>
    </xf>
    <xf numFmtId="0" fontId="0" fillId="0" borderId="55" xfId="0" applyBorder="1"/>
    <xf numFmtId="0" fontId="12" fillId="58" borderId="57" xfId="0" applyFont="1" applyFill="1" applyBorder="1" applyAlignment="1">
      <alignment horizontal="center" vertical="center"/>
    </xf>
    <xf numFmtId="0" fontId="12" fillId="59" borderId="58" xfId="0" applyFont="1" applyFill="1" applyBorder="1" applyAlignment="1">
      <alignment horizontal="center" vertical="center"/>
    </xf>
    <xf numFmtId="0" fontId="0" fillId="0" borderId="59" xfId="0" applyBorder="1" applyAlignment="1">
      <alignment horizontal="center" wrapText="1"/>
    </xf>
    <xf numFmtId="0" fontId="0" fillId="0" borderId="59" xfId="0" applyBorder="1" applyAlignment="1">
      <alignment horizontal="left" wrapText="1"/>
    </xf>
    <xf numFmtId="0" fontId="0" fillId="0" borderId="59" xfId="0" applyBorder="1" applyAlignment="1">
      <alignment wrapText="1"/>
    </xf>
    <xf numFmtId="0" fontId="0" fillId="0" borderId="60" xfId="0" applyBorder="1" applyAlignment="1">
      <alignment wrapText="1"/>
    </xf>
    <xf numFmtId="0" fontId="12" fillId="0" borderId="61" xfId="0" applyFont="1" applyBorder="1" applyAlignment="1">
      <alignment horizontal="center" vertical="center"/>
    </xf>
    <xf numFmtId="0" fontId="0" fillId="0" borderId="62" xfId="0" applyBorder="1" applyAlignment="1">
      <alignment wrapText="1"/>
    </xf>
    <xf numFmtId="0" fontId="6" fillId="64" borderId="63" xfId="0" applyFont="1" applyFill="1" applyBorder="1" applyAlignment="1">
      <alignment horizontal="center" vertical="center"/>
    </xf>
    <xf numFmtId="0" fontId="0" fillId="0" borderId="64" xfId="0" applyBorder="1"/>
    <xf numFmtId="0" fontId="0" fillId="0" borderId="61" xfId="0" applyBorder="1" applyAlignment="1">
      <alignment wrapText="1"/>
    </xf>
    <xf numFmtId="0" fontId="7" fillId="66" borderId="65" xfId="0" applyFont="1" applyFill="1" applyBorder="1" applyAlignment="1">
      <alignment horizontal="center" vertical="center"/>
    </xf>
    <xf numFmtId="0" fontId="0" fillId="0" borderId="66" xfId="0" applyBorder="1" applyAlignment="1">
      <alignment wrapText="1"/>
    </xf>
    <xf numFmtId="0" fontId="0" fillId="0" borderId="67" xfId="0" applyBorder="1" applyAlignment="1">
      <alignment wrapText="1"/>
    </xf>
    <xf numFmtId="0" fontId="7" fillId="69" borderId="68" xfId="0" applyFont="1" applyFill="1" applyBorder="1" applyAlignment="1">
      <alignment horizontal="center"/>
    </xf>
    <xf numFmtId="0" fontId="0" fillId="0" borderId="69" xfId="0" applyBorder="1"/>
    <xf numFmtId="0" fontId="8" fillId="71" borderId="70" xfId="0" applyFont="1" applyFill="1" applyBorder="1" applyAlignment="1">
      <alignment horizontal="center" vertical="center"/>
    </xf>
    <xf numFmtId="0" fontId="5" fillId="0" borderId="69" xfId="0" applyFont="1" applyBorder="1"/>
    <xf numFmtId="0" fontId="5" fillId="72" borderId="71" xfId="0" applyFont="1" applyFill="1" applyBorder="1" applyAlignment="1">
      <alignment horizontal="center" vertical="center"/>
    </xf>
    <xf numFmtId="0" fontId="5" fillId="0" borderId="10" xfId="0" applyFont="1" applyBorder="1" applyAlignment="1">
      <alignment horizontal="center" vertical="center"/>
    </xf>
    <xf numFmtId="0" fontId="5" fillId="49" borderId="48" xfId="0" applyFont="1" applyFill="1" applyBorder="1" applyAlignment="1">
      <alignment horizontal="center" vertical="center"/>
    </xf>
    <xf numFmtId="0" fontId="0" fillId="0" borderId="61" xfId="0" applyBorder="1"/>
    <xf numFmtId="0" fontId="8" fillId="71" borderId="70" xfId="0" applyFont="1" applyFill="1" applyBorder="1"/>
    <xf numFmtId="0" fontId="5" fillId="0" borderId="10" xfId="0" applyFont="1" applyBorder="1"/>
    <xf numFmtId="0" fontId="5" fillId="73" borderId="72" xfId="0" applyFont="1" applyFill="1" applyBorder="1"/>
    <xf numFmtId="0" fontId="5" fillId="49" borderId="48" xfId="0" applyFont="1" applyFill="1" applyBorder="1"/>
    <xf numFmtId="0" fontId="0" fillId="73" borderId="72" xfId="0" applyFill="1" applyBorder="1" applyAlignment="1">
      <alignment horizontal="center" vertical="center" wrapText="1"/>
    </xf>
    <xf numFmtId="0" fontId="0" fillId="74" borderId="73" xfId="0" applyFill="1" applyBorder="1" applyAlignment="1">
      <alignment horizontal="center" vertical="center" wrapText="1"/>
    </xf>
    <xf numFmtId="0" fontId="0" fillId="75" borderId="74" xfId="0" applyFill="1" applyBorder="1" applyAlignment="1">
      <alignment horizontal="center" vertical="center" wrapText="1"/>
    </xf>
    <xf numFmtId="0" fontId="0" fillId="0" borderId="75" xfId="0" applyBorder="1" applyAlignment="1">
      <alignment horizontal="left"/>
    </xf>
    <xf numFmtId="0" fontId="0" fillId="0" borderId="76" xfId="0" applyBorder="1" applyAlignment="1">
      <alignment horizontal="left"/>
    </xf>
    <xf numFmtId="0" fontId="0" fillId="0" borderId="76" xfId="0" applyBorder="1"/>
    <xf numFmtId="0" fontId="0" fillId="0" borderId="77" xfId="0" applyBorder="1"/>
    <xf numFmtId="0" fontId="12" fillId="79" borderId="78" xfId="0" applyFont="1" applyFill="1" applyBorder="1" applyAlignment="1">
      <alignment horizontal="center" vertical="center"/>
    </xf>
    <xf numFmtId="0" fontId="12" fillId="80" borderId="79" xfId="0" applyFont="1" applyFill="1" applyBorder="1" applyAlignment="1">
      <alignment horizontal="center" vertical="center"/>
    </xf>
    <xf numFmtId="0" fontId="0" fillId="0" borderId="60" xfId="0" applyBorder="1"/>
    <xf numFmtId="0" fontId="12" fillId="0" borderId="52" xfId="0" applyFont="1" applyBorder="1" applyAlignment="1">
      <alignment horizontal="center" vertical="center"/>
    </xf>
    <xf numFmtId="0" fontId="13" fillId="71" borderId="70" xfId="0" applyFont="1" applyFill="1" applyBorder="1" applyAlignment="1">
      <alignment horizontal="center" vertical="center"/>
    </xf>
    <xf numFmtId="0" fontId="0" fillId="0" borderId="80" xfId="0" applyBorder="1"/>
    <xf numFmtId="0" fontId="5" fillId="82" borderId="81" xfId="0" applyFont="1" applyFill="1" applyBorder="1" applyAlignment="1">
      <alignment horizontal="left" vertical="center"/>
    </xf>
    <xf numFmtId="0" fontId="5" fillId="0" borderId="10" xfId="0" applyFont="1" applyBorder="1" applyAlignment="1">
      <alignment horizontal="left" vertical="center"/>
    </xf>
    <xf numFmtId="0" fontId="0" fillId="0" borderId="82" xfId="0" applyBorder="1" applyAlignment="1">
      <alignment horizontal="center"/>
    </xf>
    <xf numFmtId="0" fontId="5" fillId="0" borderId="83" xfId="0" applyFont="1" applyBorder="1" applyAlignment="1">
      <alignment horizontal="left"/>
    </xf>
    <xf numFmtId="4" fontId="0" fillId="0" borderId="83" xfId="0" applyNumberFormat="1" applyBorder="1"/>
    <xf numFmtId="0" fontId="5" fillId="72" borderId="71" xfId="0" applyFont="1" applyFill="1" applyBorder="1" applyAlignment="1">
      <alignment horizontal="left" vertical="center"/>
    </xf>
    <xf numFmtId="0" fontId="0" fillId="0" borderId="84" xfId="0" applyBorder="1" applyAlignment="1">
      <alignment horizontal="center"/>
    </xf>
    <xf numFmtId="0" fontId="0" fillId="0" borderId="84" xfId="0" applyBorder="1" applyAlignment="1">
      <alignment horizontal="left"/>
    </xf>
    <xf numFmtId="0" fontId="0" fillId="0" borderId="84" xfId="0" applyBorder="1"/>
    <xf numFmtId="0" fontId="0" fillId="0" borderId="85" xfId="0" applyBorder="1"/>
    <xf numFmtId="0" fontId="5" fillId="72" borderId="71" xfId="0" applyFont="1" applyFill="1" applyBorder="1" applyAlignment="1">
      <alignment horizontal="left" vertical="center" wrapText="1"/>
    </xf>
    <xf numFmtId="0" fontId="0" fillId="0" borderId="86" xfId="0" applyBorder="1"/>
    <xf numFmtId="0" fontId="0" fillId="0" borderId="87" xfId="0" applyBorder="1"/>
    <xf numFmtId="0" fontId="0" fillId="0" borderId="76" xfId="0" applyBorder="1" applyAlignment="1">
      <alignment horizontal="center"/>
    </xf>
    <xf numFmtId="0" fontId="18" fillId="74" borderId="73" xfId="0" applyFont="1" applyFill="1" applyBorder="1" applyAlignment="1">
      <alignment horizontal="center" vertical="center" wrapText="1"/>
    </xf>
    <xf numFmtId="0" fontId="18" fillId="75" borderId="74" xfId="0" applyFont="1" applyFill="1" applyBorder="1" applyAlignment="1">
      <alignment horizontal="center" vertical="center" wrapText="1"/>
    </xf>
    <xf numFmtId="0" fontId="18" fillId="35" borderId="34" xfId="0" applyFont="1" applyFill="1" applyAlignment="1">
      <alignment horizontal="center" vertical="center" wrapText="1"/>
    </xf>
    <xf numFmtId="0" fontId="18" fillId="89" borderId="88" xfId="0" applyFont="1" applyFill="1" applyBorder="1" applyAlignment="1">
      <alignment horizontal="center" vertical="center" wrapText="1"/>
    </xf>
    <xf numFmtId="0" fontId="18" fillId="90" borderId="89" xfId="0" applyFont="1" applyFill="1" applyBorder="1" applyAlignment="1">
      <alignment horizontal="center" vertical="center" wrapText="1"/>
    </xf>
    <xf numFmtId="0" fontId="18" fillId="91" borderId="90" xfId="0" applyFont="1" applyFill="1" applyBorder="1" applyAlignment="1">
      <alignment horizontal="center" vertical="center" wrapText="1"/>
    </xf>
    <xf numFmtId="0" fontId="18" fillId="92" borderId="91" xfId="0" applyFont="1" applyFill="1" applyBorder="1" applyAlignment="1">
      <alignment horizontal="center" vertical="center" wrapText="1"/>
    </xf>
    <xf numFmtId="0" fontId="18" fillId="93" borderId="92" xfId="0" applyFont="1" applyFill="1" applyBorder="1" applyAlignment="1">
      <alignment horizontal="center" vertical="center" wrapText="1"/>
    </xf>
    <xf numFmtId="0" fontId="18" fillId="94" borderId="93" xfId="0" applyFont="1" applyFill="1" applyBorder="1" applyAlignment="1">
      <alignment horizontal="center" vertical="center" wrapText="1"/>
    </xf>
    <xf numFmtId="0" fontId="0" fillId="0" borderId="55" xfId="0" applyBorder="1" applyAlignment="1">
      <alignment horizontal="center"/>
    </xf>
    <xf numFmtId="0" fontId="18" fillId="95" borderId="94" xfId="0" applyFont="1" applyFill="1" applyBorder="1" applyAlignment="1">
      <alignment horizontal="center" vertical="center" wrapText="1"/>
    </xf>
    <xf numFmtId="0" fontId="0" fillId="0" borderId="75" xfId="0" applyBorder="1" applyAlignment="1">
      <alignment horizontal="center"/>
    </xf>
    <xf numFmtId="0" fontId="18" fillId="96" borderId="95" xfId="0" applyFont="1" applyFill="1" applyBorder="1" applyAlignment="1">
      <alignment horizontal="left"/>
    </xf>
    <xf numFmtId="0" fontId="18" fillId="96" borderId="95" xfId="0" applyFont="1" applyFill="1" applyBorder="1"/>
    <xf numFmtId="0" fontId="18" fillId="97" borderId="96" xfId="0" applyFont="1" applyFill="1" applyBorder="1" applyAlignment="1">
      <alignment horizontal="center" vertical="center" wrapText="1"/>
    </xf>
    <xf numFmtId="0" fontId="18" fillId="98" borderId="97" xfId="0" applyFont="1" applyFill="1" applyBorder="1" applyAlignment="1">
      <alignment horizontal="center" vertical="center" wrapText="1"/>
    </xf>
    <xf numFmtId="0" fontId="18" fillId="99" borderId="98" xfId="0" applyFont="1" applyFill="1" applyBorder="1" applyAlignment="1">
      <alignment horizontal="left"/>
    </xf>
    <xf numFmtId="0" fontId="0" fillId="100" borderId="99" xfId="0" applyFill="1" applyBorder="1" applyAlignment="1">
      <alignment horizontal="center" vertical="center" wrapText="1"/>
    </xf>
    <xf numFmtId="0" fontId="18" fillId="0" borderId="56" xfId="0" applyFont="1" applyBorder="1" applyAlignment="1">
      <alignment horizontal="center" vertical="center"/>
    </xf>
    <xf numFmtId="0" fontId="18" fillId="0" borderId="100" xfId="0" applyFont="1" applyBorder="1" applyAlignment="1">
      <alignment horizontal="center" vertical="center"/>
    </xf>
    <xf numFmtId="0" fontId="0" fillId="0" borderId="56" xfId="0" applyBorder="1" applyAlignment="1">
      <alignment horizontal="center" vertical="center" wrapText="1"/>
    </xf>
    <xf numFmtId="0" fontId="0" fillId="0" borderId="100" xfId="0" applyBorder="1" applyAlignment="1">
      <alignment horizontal="center" vertical="center" wrapText="1"/>
    </xf>
    <xf numFmtId="0" fontId="0" fillId="0" borderId="100" xfId="0" applyBorder="1"/>
    <xf numFmtId="0" fontId="9" fillId="102" borderId="101" xfId="0" applyFont="1" applyFill="1" applyBorder="1"/>
    <xf numFmtId="0" fontId="23" fillId="44" borderId="43" xfId="0" applyFont="1" applyFill="1" applyBorder="1"/>
    <xf numFmtId="0" fontId="18" fillId="44" borderId="43" xfId="0" applyFont="1" applyFill="1" applyBorder="1"/>
    <xf numFmtId="0" fontId="18" fillId="0" borderId="56" xfId="0" applyFont="1" applyBorder="1"/>
    <xf numFmtId="0" fontId="18" fillId="0" borderId="100" xfId="0" applyFont="1" applyBorder="1"/>
    <xf numFmtId="0" fontId="18" fillId="100" borderId="99" xfId="0" applyFont="1" applyFill="1" applyBorder="1" applyAlignment="1">
      <alignment horizontal="center" vertical="center" wrapText="1"/>
    </xf>
    <xf numFmtId="0" fontId="12" fillId="103" borderId="102" xfId="0" applyFont="1" applyFill="1" applyBorder="1"/>
    <xf numFmtId="0" fontId="23" fillId="104" borderId="103" xfId="0" applyFont="1" applyFill="1" applyBorder="1"/>
    <xf numFmtId="0" fontId="0" fillId="105" borderId="104" xfId="0" applyFill="1" applyBorder="1" applyAlignment="1">
      <alignment horizontal="center" vertical="center" wrapText="1"/>
    </xf>
    <xf numFmtId="0" fontId="18" fillId="105" borderId="104" xfId="0" applyFont="1" applyFill="1" applyBorder="1" applyAlignment="1">
      <alignment horizontal="center" vertical="center" wrapText="1"/>
    </xf>
    <xf numFmtId="0" fontId="0" fillId="0" borderId="105" xfId="0" applyBorder="1"/>
    <xf numFmtId="0" fontId="0" fillId="0" borderId="106" xfId="0" applyBorder="1"/>
    <xf numFmtId="0" fontId="18" fillId="108" borderId="107" xfId="0" applyFont="1" applyFill="1" applyBorder="1" applyAlignment="1">
      <alignment horizontal="center" vertical="center" wrapText="1"/>
    </xf>
    <xf numFmtId="0" fontId="18" fillId="109" borderId="108" xfId="0" applyFont="1" applyFill="1" applyBorder="1" applyAlignment="1">
      <alignment horizontal="center" vertical="center" wrapText="1"/>
    </xf>
    <xf numFmtId="0" fontId="18" fillId="110" borderId="109" xfId="0" applyFont="1" applyFill="1" applyBorder="1" applyAlignment="1">
      <alignment horizontal="center" vertical="center" wrapText="1"/>
    </xf>
    <xf numFmtId="0" fontId="18" fillId="111" borderId="110" xfId="0" applyFont="1" applyFill="1" applyBorder="1" applyAlignment="1">
      <alignment horizontal="center" vertical="center"/>
    </xf>
    <xf numFmtId="0" fontId="18" fillId="109" borderId="108" xfId="0" applyFont="1" applyFill="1" applyBorder="1" applyAlignment="1">
      <alignment horizontal="center" vertical="center"/>
    </xf>
    <xf numFmtId="0" fontId="18" fillId="110" borderId="109" xfId="0" applyFont="1" applyFill="1" applyBorder="1" applyAlignment="1">
      <alignment horizontal="center" vertical="center"/>
    </xf>
    <xf numFmtId="0" fontId="23" fillId="0" borderId="1" xfId="0" applyFont="1" applyBorder="1"/>
    <xf numFmtId="10" fontId="18" fillId="0" borderId="1" xfId="0" applyNumberFormat="1" applyFont="1" applyBorder="1"/>
    <xf numFmtId="0" fontId="18" fillId="0" borderId="1" xfId="0" applyFont="1" applyBorder="1"/>
    <xf numFmtId="0" fontId="7" fillId="29" borderId="28" xfId="0" applyFont="1" applyFill="1" applyBorder="1"/>
    <xf numFmtId="0" fontId="12" fillId="112" borderId="111" xfId="0" applyFont="1" applyFill="1" applyBorder="1" applyAlignment="1">
      <alignment horizontal="center" vertical="center"/>
    </xf>
    <xf numFmtId="0" fontId="28" fillId="113" borderId="112" xfId="0" applyFont="1" applyFill="1" applyBorder="1" applyAlignment="1">
      <alignment horizontal="center" vertical="center"/>
    </xf>
    <xf numFmtId="0" fontId="14" fillId="113" borderId="112" xfId="0" applyFont="1" applyFill="1" applyBorder="1" applyAlignment="1">
      <alignment horizontal="center" vertical="center"/>
    </xf>
    <xf numFmtId="0" fontId="14" fillId="114" borderId="113" xfId="0" applyFont="1" applyFill="1" applyBorder="1" applyAlignment="1">
      <alignment horizontal="center" vertical="center"/>
    </xf>
    <xf numFmtId="0" fontId="13" fillId="115" borderId="114" xfId="0" applyFont="1" applyFill="1" applyBorder="1" applyAlignment="1">
      <alignment horizontal="center" vertical="center"/>
    </xf>
    <xf numFmtId="0" fontId="13" fillId="19" borderId="18" xfId="0" applyFont="1" applyFill="1" applyAlignment="1">
      <alignment horizontal="center" vertical="center"/>
    </xf>
    <xf numFmtId="0" fontId="7" fillId="29" borderId="28" xfId="0" applyFont="1" applyFill="1" applyBorder="1" applyAlignment="1">
      <alignment horizontal="right"/>
    </xf>
    <xf numFmtId="0" fontId="13" fillId="116" borderId="115" xfId="0" applyFont="1" applyFill="1" applyBorder="1"/>
    <xf numFmtId="0" fontId="13" fillId="117" borderId="116" xfId="0" applyFont="1" applyFill="1" applyBorder="1"/>
    <xf numFmtId="0" fontId="13" fillId="118" borderId="117" xfId="0" applyFont="1" applyFill="1" applyBorder="1"/>
    <xf numFmtId="2" fontId="0" fillId="0" borderId="64" xfId="0" applyNumberFormat="1" applyBorder="1"/>
    <xf numFmtId="2" fontId="0" fillId="0" borderId="118" xfId="0" applyNumberFormat="1" applyBorder="1"/>
    <xf numFmtId="2" fontId="0" fillId="51" borderId="50" xfId="0" applyNumberFormat="1" applyFill="1" applyBorder="1" applyAlignment="1">
      <alignment horizontal="center" vertical="center"/>
    </xf>
    <xf numFmtId="168" fontId="0" fillId="51" borderId="50" xfId="0" applyNumberFormat="1" applyFill="1" applyBorder="1" applyAlignment="1">
      <alignment horizontal="center" vertical="center"/>
    </xf>
    <xf numFmtId="168" fontId="0" fillId="0" borderId="1" xfId="0" applyNumberFormat="1" applyBorder="1" applyAlignment="1">
      <alignment horizontal="center" vertical="center"/>
    </xf>
    <xf numFmtId="2" fontId="0" fillId="22" borderId="21" xfId="0" applyNumberFormat="1" applyFill="1" applyBorder="1" applyAlignment="1">
      <alignment horizontal="center" vertical="center"/>
    </xf>
    <xf numFmtId="168" fontId="0" fillId="22" borderId="21" xfId="0" applyNumberFormat="1" applyFill="1" applyBorder="1" applyAlignment="1">
      <alignment horizontal="center" vertical="center"/>
    </xf>
    <xf numFmtId="0" fontId="0" fillId="0" borderId="119" xfId="0" applyBorder="1"/>
    <xf numFmtId="0" fontId="10" fillId="0" borderId="0" xfId="0" applyFont="1"/>
    <xf numFmtId="0" fontId="30" fillId="121" borderId="120" xfId="0" applyFont="1" applyFill="1" applyBorder="1" applyAlignment="1">
      <alignment horizontal="center" vertical="center"/>
    </xf>
    <xf numFmtId="0" fontId="30" fillId="122" borderId="121" xfId="0" applyFont="1" applyFill="1" applyBorder="1" applyAlignment="1">
      <alignment horizontal="center" vertical="center"/>
    </xf>
    <xf numFmtId="0" fontId="34" fillId="123" borderId="122" xfId="0" applyFont="1" applyFill="1" applyBorder="1" applyAlignment="1">
      <alignment horizontal="center" vertical="center"/>
    </xf>
    <xf numFmtId="0" fontId="34" fillId="124" borderId="123" xfId="0" applyFont="1" applyFill="1" applyBorder="1" applyAlignment="1">
      <alignment horizontal="center" vertical="center"/>
    </xf>
    <xf numFmtId="0" fontId="28" fillId="125" borderId="124" xfId="0" applyFont="1" applyFill="1" applyBorder="1" applyAlignment="1">
      <alignment horizontal="center" vertical="center"/>
    </xf>
    <xf numFmtId="0" fontId="28" fillId="126" borderId="125" xfId="0" applyFont="1" applyFill="1" applyAlignment="1">
      <alignment horizontal="center" vertical="center"/>
    </xf>
    <xf numFmtId="0" fontId="34" fillId="127" borderId="126" xfId="0" applyFont="1" applyFill="1" applyBorder="1" applyAlignment="1">
      <alignment horizontal="center" vertical="center"/>
    </xf>
    <xf numFmtId="0" fontId="28" fillId="128" borderId="127" xfId="0" applyFont="1" applyFill="1" applyBorder="1" applyAlignment="1">
      <alignment horizontal="center" vertical="center"/>
    </xf>
    <xf numFmtId="0" fontId="31" fillId="129" borderId="128" xfId="0" applyFont="1" applyFill="1" applyBorder="1" applyAlignment="1">
      <alignment horizontal="center" vertical="center" wrapText="1"/>
    </xf>
    <xf numFmtId="0" fontId="30" fillId="130" borderId="129" xfId="0" applyFont="1" applyFill="1" applyBorder="1" applyAlignment="1">
      <alignment horizontal="center" vertical="center" wrapText="1"/>
    </xf>
    <xf numFmtId="0" fontId="32" fillId="97" borderId="96" xfId="0" applyFont="1" applyFill="1" applyBorder="1" applyAlignment="1">
      <alignment horizontal="center" vertical="center" wrapText="1"/>
    </xf>
    <xf numFmtId="0" fontId="30" fillId="131" borderId="130" xfId="0" applyFont="1" applyFill="1" applyBorder="1" applyAlignment="1">
      <alignment horizontal="center" vertical="center" wrapText="1"/>
    </xf>
    <xf numFmtId="0" fontId="35" fillId="132" borderId="131" xfId="0" applyFont="1" applyFill="1" applyBorder="1" applyAlignment="1">
      <alignment horizontal="center" vertical="center"/>
    </xf>
    <xf numFmtId="0" fontId="35" fillId="133" borderId="132" xfId="0" applyFont="1" applyFill="1" applyBorder="1" applyAlignment="1">
      <alignment horizontal="center" vertical="center" wrapText="1"/>
    </xf>
    <xf numFmtId="0" fontId="33" fillId="134" borderId="133" xfId="0" applyFont="1" applyFill="1" applyBorder="1" applyAlignment="1">
      <alignment horizontal="center" vertical="center"/>
    </xf>
    <xf numFmtId="4" fontId="28" fillId="135" borderId="134" xfId="0" applyNumberFormat="1" applyFont="1" applyFill="1" applyBorder="1" applyAlignment="1">
      <alignment horizontal="center" vertical="center"/>
    </xf>
    <xf numFmtId="0" fontId="30" fillId="136" borderId="135" xfId="0" applyFont="1" applyFill="1" applyBorder="1" applyAlignment="1">
      <alignment horizontal="center" vertical="center"/>
    </xf>
    <xf numFmtId="4" fontId="28" fillId="137" borderId="136" xfId="0" applyNumberFormat="1" applyFont="1" applyFill="1" applyBorder="1" applyAlignment="1">
      <alignment horizontal="center" vertical="center" wrapText="1"/>
    </xf>
    <xf numFmtId="10" fontId="28" fillId="98" borderId="97" xfId="0" applyNumberFormat="1" applyFont="1" applyFill="1" applyBorder="1" applyAlignment="1">
      <alignment horizontal="center" vertical="center"/>
    </xf>
    <xf numFmtId="4" fontId="28" fillId="138" borderId="137" xfId="0" applyNumberFormat="1" applyFont="1" applyFill="1" applyBorder="1" applyAlignment="1">
      <alignment horizontal="center" vertical="center" wrapText="1"/>
    </xf>
    <xf numFmtId="2" fontId="28" fillId="98" borderId="97" xfId="0" applyNumberFormat="1" applyFont="1" applyFill="1" applyBorder="1" applyAlignment="1">
      <alignment horizontal="center" vertical="center"/>
    </xf>
    <xf numFmtId="0" fontId="30" fillId="139" borderId="138" xfId="0" applyFont="1" applyFill="1" applyBorder="1" applyAlignment="1">
      <alignment horizontal="center" vertical="center"/>
    </xf>
    <xf numFmtId="0" fontId="23" fillId="140" borderId="139" xfId="0" applyFont="1" applyFill="1" applyAlignment="1">
      <alignment horizontal="center" vertical="center"/>
    </xf>
    <xf numFmtId="0" fontId="18" fillId="140" borderId="139" xfId="0" applyFont="1" applyFill="1"/>
    <xf numFmtId="0" fontId="23" fillId="126" borderId="125" xfId="0" applyFont="1" applyFill="1" applyAlignment="1">
      <alignment horizontal="center" vertical="center"/>
    </xf>
    <xf numFmtId="0" fontId="23" fillId="128" borderId="127" xfId="0" applyFont="1" applyFill="1" applyBorder="1" applyAlignment="1">
      <alignment horizontal="center" vertical="center"/>
    </xf>
    <xf numFmtId="0" fontId="18" fillId="126" borderId="125" xfId="0" applyFont="1" applyFill="1"/>
    <xf numFmtId="0" fontId="18" fillId="128" borderId="127" xfId="0" applyFont="1" applyFill="1" applyBorder="1"/>
    <xf numFmtId="0" fontId="23" fillId="141" borderId="140" xfId="0" applyFont="1" applyFill="1" applyAlignment="1">
      <alignment horizontal="center" vertical="center" wrapText="1"/>
    </xf>
    <xf numFmtId="0" fontId="23" fillId="142" borderId="141" xfId="0" applyFont="1" applyFill="1" applyBorder="1" applyAlignment="1">
      <alignment horizontal="center" vertical="center" wrapText="1"/>
    </xf>
    <xf numFmtId="0" fontId="23" fillId="143" borderId="142" xfId="0" applyFont="1" applyFill="1" applyBorder="1" applyAlignment="1">
      <alignment horizontal="center" vertical="center" wrapText="1"/>
    </xf>
    <xf numFmtId="0" fontId="23" fillId="144" borderId="143" xfId="0" applyFont="1" applyFill="1" applyBorder="1" applyAlignment="1">
      <alignment horizontal="center" vertical="center" wrapText="1"/>
    </xf>
    <xf numFmtId="0" fontId="23" fillId="145" borderId="144" xfId="0" applyFont="1" applyFill="1" applyBorder="1" applyAlignment="1">
      <alignment horizontal="center" vertical="center" wrapText="1"/>
    </xf>
    <xf numFmtId="0" fontId="23" fillId="146" borderId="145" xfId="0" applyFont="1" applyFill="1" applyBorder="1" applyAlignment="1">
      <alignment horizontal="center" vertical="center" wrapText="1"/>
    </xf>
    <xf numFmtId="0" fontId="23" fillId="147" borderId="146" xfId="0" applyFont="1" applyFill="1" applyBorder="1" applyAlignment="1">
      <alignment horizontal="center" vertical="center" wrapText="1"/>
    </xf>
    <xf numFmtId="0" fontId="23" fillId="148" borderId="147" xfId="0" applyFont="1" applyFill="1" applyBorder="1" applyAlignment="1">
      <alignment horizontal="center" vertical="center"/>
    </xf>
    <xf numFmtId="0" fontId="18" fillId="148" borderId="147" xfId="0" applyFont="1" applyFill="1" applyBorder="1"/>
    <xf numFmtId="0" fontId="0" fillId="0" borderId="148" xfId="0" applyBorder="1"/>
    <xf numFmtId="0" fontId="23" fillId="150" borderId="149" xfId="0" applyFont="1" applyFill="1" applyBorder="1" applyAlignment="1">
      <alignment horizontal="center" vertical="center" wrapText="1"/>
    </xf>
    <xf numFmtId="0" fontId="23" fillId="151" borderId="150" xfId="0" applyFont="1" applyFill="1" applyBorder="1" applyAlignment="1">
      <alignment horizontal="center" vertical="center" wrapText="1"/>
    </xf>
    <xf numFmtId="0" fontId="13" fillId="152" borderId="151" xfId="0" applyFont="1" applyFill="1" applyBorder="1" applyAlignment="1">
      <alignment horizontal="center" vertical="center"/>
    </xf>
    <xf numFmtId="0" fontId="13" fillId="153" borderId="152" xfId="0" applyFont="1" applyFill="1" applyBorder="1" applyAlignment="1">
      <alignment horizontal="center" vertical="center"/>
    </xf>
    <xf numFmtId="0" fontId="0" fillId="0" borderId="153" xfId="0" applyBorder="1"/>
    <xf numFmtId="0" fontId="8" fillId="155" borderId="154" xfId="0" applyFont="1" applyFill="1" applyBorder="1" applyAlignment="1">
      <alignment horizontal="center"/>
    </xf>
    <xf numFmtId="167" fontId="0" fillId="156" borderId="155" xfId="0" applyNumberFormat="1" applyFill="1" applyBorder="1" applyAlignment="1">
      <alignment horizontal="center"/>
    </xf>
    <xf numFmtId="167" fontId="0" fillId="0" borderId="64" xfId="0" applyNumberFormat="1" applyBorder="1" applyAlignment="1">
      <alignment horizontal="center"/>
    </xf>
    <xf numFmtId="167" fontId="0" fillId="157" borderId="156" xfId="0" applyNumberFormat="1" applyFill="1" applyBorder="1" applyAlignment="1">
      <alignment horizontal="center"/>
    </xf>
    <xf numFmtId="167" fontId="0" fillId="158" borderId="157" xfId="0" applyNumberFormat="1" applyFill="1" applyBorder="1" applyAlignment="1">
      <alignment horizontal="center"/>
    </xf>
    <xf numFmtId="167" fontId="0" fillId="159" borderId="158" xfId="0" applyNumberFormat="1" applyFill="1" applyBorder="1" applyAlignment="1">
      <alignment horizontal="center"/>
    </xf>
    <xf numFmtId="167" fontId="0" fillId="0" borderId="118" xfId="0" applyNumberFormat="1" applyBorder="1" applyAlignment="1">
      <alignment horizontal="center"/>
    </xf>
    <xf numFmtId="0" fontId="0" fillId="0" borderId="159" xfId="0" applyBorder="1"/>
    <xf numFmtId="0" fontId="0" fillId="0" borderId="160" xfId="0" applyBorder="1" applyAlignment="1">
      <alignment wrapText="1"/>
    </xf>
    <xf numFmtId="0" fontId="12" fillId="162" borderId="161" xfId="0" applyFont="1" applyFill="1" applyBorder="1" applyAlignment="1">
      <alignment horizontal="center" vertical="center"/>
    </xf>
    <xf numFmtId="0" fontId="7" fillId="163" borderId="162" xfId="0" applyFont="1" applyFill="1" applyBorder="1" applyAlignment="1">
      <alignment horizontal="center"/>
    </xf>
    <xf numFmtId="4" fontId="8" fillId="164" borderId="163" xfId="0" applyNumberFormat="1" applyFont="1" applyFill="1" applyBorder="1" applyAlignment="1">
      <alignment horizontal="center"/>
    </xf>
    <xf numFmtId="4" fontId="0" fillId="165" borderId="164" xfId="0" applyNumberFormat="1" applyFill="1" applyBorder="1"/>
    <xf numFmtId="4" fontId="0" fillId="0" borderId="56" xfId="0" applyNumberFormat="1" applyBorder="1"/>
    <xf numFmtId="4" fontId="0" fillId="166" borderId="165" xfId="0" applyNumberFormat="1" applyFill="1" applyBorder="1"/>
    <xf numFmtId="4" fontId="0" fillId="167" borderId="166" xfId="0" applyNumberFormat="1" applyFill="1" applyBorder="1"/>
    <xf numFmtId="4" fontId="0" fillId="168" borderId="167" xfId="0" applyNumberFormat="1" applyFill="1" applyBorder="1"/>
    <xf numFmtId="4" fontId="0" fillId="0" borderId="168" xfId="0" applyNumberFormat="1" applyBorder="1"/>
    <xf numFmtId="0" fontId="13" fillId="170" borderId="169" xfId="0" applyFont="1" applyFill="1" applyBorder="1"/>
    <xf numFmtId="0" fontId="23" fillId="0" borderId="100" xfId="0" applyFont="1" applyBorder="1"/>
    <xf numFmtId="0" fontId="23" fillId="0" borderId="170" xfId="0" applyFont="1" applyBorder="1"/>
    <xf numFmtId="0" fontId="7" fillId="172" borderId="171" xfId="0" applyFont="1" applyFill="1" applyBorder="1" applyAlignment="1">
      <alignment horizontal="center" vertical="center"/>
    </xf>
    <xf numFmtId="0" fontId="7" fillId="173" borderId="172" xfId="0" applyFont="1" applyFill="1" applyBorder="1" applyAlignment="1">
      <alignment horizontal="center" vertical="center"/>
    </xf>
    <xf numFmtId="0" fontId="7" fillId="174" borderId="173" xfId="0" applyFont="1" applyFill="1" applyBorder="1" applyAlignment="1">
      <alignment horizontal="center" vertical="center"/>
    </xf>
    <xf numFmtId="0" fontId="7" fillId="175" borderId="174" xfId="0" applyFont="1" applyFill="1" applyBorder="1" applyAlignment="1">
      <alignment horizontal="center" vertical="center"/>
    </xf>
    <xf numFmtId="0" fontId="29" fillId="176" borderId="175" xfId="0" applyFont="1" applyFill="1" applyBorder="1" applyAlignment="1">
      <alignment horizontal="center" vertical="center" wrapText="1"/>
    </xf>
    <xf numFmtId="0" fontId="29" fillId="177" borderId="176" xfId="0" applyFont="1" applyFill="1" applyBorder="1" applyAlignment="1">
      <alignment horizontal="center" vertical="center" wrapText="1"/>
    </xf>
    <xf numFmtId="0" fontId="31" fillId="178" borderId="177" xfId="0" applyFont="1" applyFill="1" applyBorder="1" applyAlignment="1">
      <alignment horizontal="center" vertical="center" wrapText="1"/>
    </xf>
    <xf numFmtId="0" fontId="32" fillId="92" borderId="91" xfId="0" applyFont="1" applyFill="1" applyBorder="1" applyAlignment="1">
      <alignment horizontal="center" vertical="center" wrapText="1"/>
    </xf>
    <xf numFmtId="0" fontId="35" fillId="179" borderId="178" xfId="0" applyFont="1" applyFill="1" applyBorder="1" applyAlignment="1">
      <alignment horizontal="center" vertical="center"/>
    </xf>
    <xf numFmtId="0" fontId="33" fillId="180" borderId="179" xfId="0" applyFont="1" applyFill="1" applyBorder="1" applyAlignment="1">
      <alignment horizontal="center" vertical="center"/>
    </xf>
    <xf numFmtId="4" fontId="28" fillId="181" borderId="180" xfId="0" applyNumberFormat="1" applyFont="1" applyFill="1" applyBorder="1" applyAlignment="1">
      <alignment horizontal="center" vertical="center" wrapText="1"/>
    </xf>
    <xf numFmtId="4" fontId="28" fillId="182" borderId="181" xfId="0" applyNumberFormat="1" applyFont="1" applyFill="1" applyBorder="1" applyAlignment="1">
      <alignment horizontal="center" vertical="center" wrapText="1"/>
    </xf>
    <xf numFmtId="4" fontId="28" fillId="183" borderId="182" xfId="0" applyNumberFormat="1" applyFont="1" applyFill="1" applyBorder="1" applyAlignment="1">
      <alignment horizontal="center" vertical="center" wrapText="1"/>
    </xf>
    <xf numFmtId="2" fontId="28" fillId="93" borderId="92" xfId="0" applyNumberFormat="1" applyFont="1" applyFill="1" applyBorder="1" applyAlignment="1">
      <alignment horizontal="center" vertical="center"/>
    </xf>
    <xf numFmtId="4" fontId="28" fillId="184" borderId="183" xfId="0" applyNumberFormat="1" applyFont="1" applyFill="1" applyBorder="1" applyAlignment="1">
      <alignment horizontal="center" vertical="center" wrapText="1"/>
    </xf>
    <xf numFmtId="4" fontId="28" fillId="185" borderId="184" xfId="0" applyNumberFormat="1" applyFont="1" applyFill="1" applyBorder="1" applyAlignment="1">
      <alignment horizontal="center" vertical="center"/>
    </xf>
    <xf numFmtId="0" fontId="30" fillId="186" borderId="185" xfId="0" applyFont="1" applyFill="1" applyBorder="1" applyAlignment="1">
      <alignment horizontal="center" vertical="center" wrapText="1"/>
    </xf>
    <xf numFmtId="0" fontId="30" fillId="187" borderId="186" xfId="0" applyFont="1" applyFill="1" applyBorder="1" applyAlignment="1">
      <alignment horizontal="center" vertical="center" wrapText="1"/>
    </xf>
    <xf numFmtId="0" fontId="30" fillId="188" borderId="187" xfId="0" applyFont="1" applyFill="1" applyBorder="1" applyAlignment="1">
      <alignment horizontal="center" vertical="center" wrapText="1"/>
    </xf>
    <xf numFmtId="0" fontId="30" fillId="189" borderId="188" xfId="0" applyFont="1" applyFill="1" applyBorder="1" applyAlignment="1">
      <alignment horizontal="center" vertical="center" wrapText="1"/>
    </xf>
    <xf numFmtId="0" fontId="35" fillId="190" borderId="189" xfId="0" applyFont="1" applyFill="1" applyBorder="1" applyAlignment="1">
      <alignment horizontal="center" vertical="center" wrapText="1"/>
    </xf>
    <xf numFmtId="0" fontId="30" fillId="191" borderId="190" xfId="0" applyFont="1" applyFill="1" applyBorder="1" applyAlignment="1">
      <alignment horizontal="center" vertical="center"/>
    </xf>
    <xf numFmtId="0" fontId="0" fillId="0" borderId="66" xfId="0" applyBorder="1"/>
    <xf numFmtId="0" fontId="13" fillId="192" borderId="191" xfId="0" applyFont="1" applyFill="1" applyBorder="1" applyAlignment="1">
      <alignment horizontal="center" vertical="center"/>
    </xf>
    <xf numFmtId="0" fontId="7" fillId="193" borderId="192" xfId="0" applyFont="1" applyFill="1" applyBorder="1" applyAlignment="1">
      <alignment horizontal="center" vertical="center"/>
    </xf>
    <xf numFmtId="0" fontId="0" fillId="0" borderId="62" xfId="0" applyBorder="1"/>
    <xf numFmtId="0" fontId="0" fillId="0" borderId="67" xfId="0" applyBorder="1"/>
    <xf numFmtId="0" fontId="36" fillId="194" borderId="193" xfId="0" applyFont="1" applyFill="1" applyBorder="1" applyAlignment="1">
      <alignment horizontal="center" vertical="center"/>
    </xf>
    <xf numFmtId="0" fontId="36" fillId="195" borderId="194" xfId="0" applyFont="1" applyFill="1" applyBorder="1" applyAlignment="1">
      <alignment horizontal="center" vertical="center"/>
    </xf>
    <xf numFmtId="0" fontId="23" fillId="196" borderId="195" xfId="0" applyFont="1" applyFill="1" applyBorder="1" applyAlignment="1">
      <alignment horizontal="center" vertical="center" wrapText="1"/>
    </xf>
    <xf numFmtId="0" fontId="23" fillId="197" borderId="196" xfId="0" applyFont="1" applyFill="1" applyBorder="1" applyAlignment="1">
      <alignment horizontal="center" vertical="center" wrapText="1"/>
    </xf>
    <xf numFmtId="0" fontId="7" fillId="198" borderId="197" xfId="0" applyFont="1" applyFill="1" applyBorder="1" applyAlignment="1">
      <alignment horizontal="center" vertical="center"/>
    </xf>
    <xf numFmtId="0" fontId="7" fillId="199" borderId="198" xfId="0" applyFont="1" applyFill="1" applyAlignment="1">
      <alignment horizontal="center" vertical="center"/>
    </xf>
    <xf numFmtId="0" fontId="7" fillId="200" borderId="199" xfId="0" applyFont="1" applyFill="1" applyBorder="1" applyAlignment="1">
      <alignment horizontal="center" vertical="center"/>
    </xf>
    <xf numFmtId="0" fontId="23" fillId="201" borderId="200" xfId="0" applyFont="1" applyFill="1" applyBorder="1" applyAlignment="1">
      <alignment horizontal="center" vertical="center" wrapText="1"/>
    </xf>
    <xf numFmtId="0" fontId="23" fillId="202" borderId="201" xfId="0" applyFont="1" applyFill="1" applyAlignment="1">
      <alignment horizontal="center" vertical="center" wrapText="1"/>
    </xf>
    <xf numFmtId="0" fontId="23" fillId="203" borderId="202" xfId="0" applyFont="1" applyFill="1" applyBorder="1" applyAlignment="1">
      <alignment horizontal="center" vertical="center" wrapText="1"/>
    </xf>
    <xf numFmtId="0" fontId="23" fillId="204" borderId="203" xfId="0" applyFont="1" applyFill="1" applyBorder="1" applyAlignment="1">
      <alignment horizontal="center" vertical="center" wrapText="1"/>
    </xf>
    <xf numFmtId="0" fontId="23" fillId="205" borderId="204" xfId="0" applyFont="1" applyFill="1" applyBorder="1" applyAlignment="1">
      <alignment horizontal="center" vertical="center" wrapText="1"/>
    </xf>
    <xf numFmtId="0" fontId="23" fillId="206" borderId="205" xfId="0" applyFont="1" applyFill="1" applyBorder="1" applyAlignment="1">
      <alignment horizontal="center" vertical="center" wrapText="1"/>
    </xf>
    <xf numFmtId="0" fontId="37" fillId="207" borderId="206" xfId="0" applyFont="1" applyFill="1" applyBorder="1" applyAlignment="1">
      <alignment horizontal="center" vertical="center"/>
    </xf>
    <xf numFmtId="0" fontId="37" fillId="208" borderId="207" xfId="0" applyFont="1" applyFill="1" applyBorder="1" applyAlignment="1">
      <alignment horizontal="center" vertical="center"/>
    </xf>
    <xf numFmtId="0" fontId="37" fillId="116" borderId="115" xfId="0" applyFont="1" applyFill="1" applyBorder="1" applyAlignment="1">
      <alignment horizontal="center" vertical="center"/>
    </xf>
    <xf numFmtId="0" fontId="36" fillId="209" borderId="208" xfId="0" applyFont="1" applyFill="1" applyBorder="1" applyAlignment="1">
      <alignment horizontal="center" vertical="center"/>
    </xf>
    <xf numFmtId="0" fontId="23" fillId="210" borderId="209" xfId="0" applyFont="1" applyFill="1" applyBorder="1" applyAlignment="1">
      <alignment horizontal="center" vertical="center" wrapText="1"/>
    </xf>
    <xf numFmtId="0" fontId="16" fillId="211" borderId="210" xfId="0" applyFont="1" applyFill="1" applyBorder="1" applyAlignment="1">
      <alignment horizontal="center" vertical="center" wrapText="1"/>
    </xf>
    <xf numFmtId="0" fontId="16" fillId="3" borderId="2" xfId="0" applyFont="1" applyFill="1" applyAlignment="1">
      <alignment horizontal="center" vertical="center" wrapText="1"/>
    </xf>
    <xf numFmtId="0" fontId="16" fillId="212" borderId="211" xfId="0" applyFont="1" applyFill="1" applyBorder="1" applyAlignment="1">
      <alignment horizontal="center" vertical="center" wrapText="1"/>
    </xf>
    <xf numFmtId="0" fontId="16" fillId="213" borderId="212" xfId="0" applyFont="1" applyFill="1" applyBorder="1" applyAlignment="1">
      <alignment horizontal="center" vertical="center" wrapText="1"/>
    </xf>
    <xf numFmtId="0" fontId="16" fillId="214" borderId="213" xfId="0" applyFont="1" applyFill="1" applyAlignment="1">
      <alignment horizontal="center" vertical="center" wrapText="1"/>
    </xf>
    <xf numFmtId="0" fontId="16" fillId="215" borderId="214" xfId="0" applyFont="1" applyFill="1" applyBorder="1" applyAlignment="1">
      <alignment horizontal="center" vertical="center" wrapText="1"/>
    </xf>
    <xf numFmtId="0" fontId="16" fillId="126" borderId="125" xfId="0" applyFont="1" applyFill="1" applyAlignment="1">
      <alignment horizontal="center" vertical="center" wrapText="1"/>
    </xf>
    <xf numFmtId="0" fontId="16" fillId="128" borderId="127" xfId="0" applyFont="1" applyFill="1" applyBorder="1" applyAlignment="1">
      <alignment horizontal="center" vertical="center" wrapText="1"/>
    </xf>
    <xf numFmtId="0" fontId="16" fillId="122" borderId="121" xfId="0" applyFont="1" applyFill="1" applyBorder="1" applyAlignment="1">
      <alignment horizontal="center" vertical="center" wrapText="1"/>
    </xf>
    <xf numFmtId="0" fontId="16" fillId="139" borderId="138" xfId="0" applyFont="1" applyFill="1" applyBorder="1" applyAlignment="1">
      <alignment horizontal="center" vertical="center" wrapText="1"/>
    </xf>
    <xf numFmtId="0" fontId="7" fillId="21" borderId="20" xfId="0" applyFont="1" applyFill="1" applyBorder="1" applyAlignment="1">
      <alignment horizontal="center" vertical="center" wrapText="1"/>
    </xf>
    <xf numFmtId="0" fontId="38" fillId="0" borderId="1" xfId="0" applyFont="1" applyBorder="1" applyAlignment="1">
      <alignment wrapText="1"/>
    </xf>
    <xf numFmtId="0" fontId="0" fillId="0" borderId="1" xfId="0" applyBorder="1"/>
    <xf numFmtId="0" fontId="13" fillId="21" borderId="20" xfId="0" applyFont="1" applyFill="1" applyBorder="1" applyAlignment="1">
      <alignment horizontal="center" vertical="center"/>
    </xf>
    <xf numFmtId="0" fontId="0" fillId="24" borderId="23" xfId="0" applyFill="1" applyBorder="1" applyAlignment="1">
      <alignment horizontal="left" vertical="center" wrapText="1"/>
    </xf>
    <xf numFmtId="0" fontId="0" fillId="24" borderId="23" xfId="0" applyFill="1" applyBorder="1" applyAlignment="1">
      <alignment horizontal="left"/>
    </xf>
    <xf numFmtId="0" fontId="0" fillId="0" borderId="1" xfId="0" applyBorder="1" applyAlignment="1">
      <alignment horizontal="left"/>
    </xf>
    <xf numFmtId="0" fontId="13" fillId="21" borderId="20" xfId="0" applyFont="1" applyFill="1" applyBorder="1" applyAlignment="1">
      <alignment horizontal="center" vertical="center"/>
    </xf>
    <xf numFmtId="0" fontId="0" fillId="51" borderId="50" xfId="0" applyFill="1" applyBorder="1" applyAlignment="1">
      <alignment horizontal="left" vertical="center" wrapText="1"/>
    </xf>
    <xf numFmtId="0" fontId="0" fillId="51" borderId="50" xfId="0" applyFill="1" applyBorder="1" applyAlignment="1">
      <alignment horizontal="left"/>
    </xf>
    <xf numFmtId="0" fontId="0" fillId="235" borderId="234" xfId="0" applyFill="1" applyBorder="1" applyAlignment="1">
      <alignment horizontal="left" vertical="center" wrapText="1"/>
    </xf>
    <xf numFmtId="0" fontId="13" fillId="21" borderId="20" xfId="0" applyFont="1" applyFill="1" applyBorder="1" applyAlignment="1">
      <alignment horizontal="center" vertical="center" wrapText="1"/>
    </xf>
    <xf numFmtId="0" fontId="0" fillId="236" borderId="235" xfId="0" applyFill="1" applyBorder="1" applyAlignment="1">
      <alignment horizontal="left" vertical="center" wrapText="1"/>
    </xf>
    <xf numFmtId="0" fontId="0" fillId="236" borderId="235" xfId="0" applyFill="1" applyBorder="1" applyAlignment="1">
      <alignment horizontal="left"/>
    </xf>
    <xf numFmtId="0" fontId="0" fillId="236" borderId="235" xfId="0" applyFill="1" applyBorder="1" applyAlignment="1">
      <alignment horizontal="left" vertical="center"/>
    </xf>
    <xf numFmtId="0" fontId="5" fillId="0" borderId="1" xfId="0" applyFont="1" applyBorder="1" applyAlignment="1">
      <alignment horizontal="center" vertical="center"/>
    </xf>
    <xf numFmtId="0" fontId="13" fillId="21" borderId="20" xfId="0" applyFont="1" applyFill="1" applyBorder="1" applyAlignment="1">
      <alignment horizontal="center" vertical="center"/>
    </xf>
    <xf numFmtId="0" fontId="0" fillId="13" borderId="12" xfId="0" applyFill="1" applyBorder="1" applyAlignment="1">
      <alignment horizontal="left" vertical="center" wrapText="1"/>
    </xf>
    <xf numFmtId="0" fontId="0" fillId="13" borderId="12" xfId="0" applyFill="1" applyBorder="1" applyAlignment="1">
      <alignment horizontal="left" wrapText="1"/>
    </xf>
    <xf numFmtId="0" fontId="16" fillId="237" borderId="236" xfId="0" applyFont="1" applyFill="1" applyBorder="1" applyAlignment="1">
      <alignment horizontal="left" vertical="center" wrapText="1"/>
    </xf>
    <xf numFmtId="0" fontId="16" fillId="44" borderId="43" xfId="0" applyFont="1" applyFill="1" applyBorder="1" applyAlignment="1">
      <alignment horizontal="left" vertical="center" wrapText="1"/>
    </xf>
  </cellXfs>
  <cellStyles count="2">
    <cellStyle name="Normal" xfId="0" builtinId="0" customBuiltin="1"/>
    <cellStyle name="Comma" xfId="1" builtinId="3" customBuiltin="1"/>
  </cellStyles>
  <tableStyles count="0"/>
  <extLst>
    <ext uri="smNativeData">
      <pm:charStyles xmlns:pm="smNativeData" id="1780841053" count="1">
        <pm:charStyle name="Normal" fontId="0"/>
      </pm:charStyles>
      <pm:colors xmlns:pm="smNativeData" id="1780841053" count="58">
        <pm:color name="Color 24" rgb="3DFFFF"/>
        <pm:color name="Color 25" rgb="3DFF3D"/>
        <pm:color name="Color 26" rgb="95B3D7"/>
        <pm:color name="Color 27" rgb="DCE6F1"/>
        <pm:color name="Color 28" rgb="D8D8D8"/>
        <pm:color name="Color 29" rgb="BFBFBF"/>
        <pm:color name="Color 30" rgb="4F81BD"/>
        <pm:color name="Color 31" rgb="919191"/>
        <pm:color name="Color 32" rgb="9EFFFF"/>
        <pm:color name="Color 33" rgb="3D3DFF"/>
        <pm:color name="Color 34" rgb="FF5C5C"/>
        <pm:color name="Color 35" rgb="FF9E9E"/>
        <pm:color name="Color 36" rgb="9EFF9E"/>
        <pm:color name="Color 37" rgb="7E7E7E"/>
        <pm:color name="Color 38" rgb="A5A5A5"/>
        <pm:color name="Color 39" rgb="FDE9D9"/>
        <pm:color name="Color 40" rgb="E26B0A"/>
        <pm:color name="Color 41" rgb="FABF8F"/>
        <pm:color name="Color 42" rgb="FCD5B4"/>
        <pm:color name="Color 43" rgb="F79646"/>
        <pm:color name="Color 44" rgb="92CDDC"/>
        <pm:color name="Color 45" rgb="DAEEF3"/>
        <pm:color name="Color 46" rgb="4BACC6"/>
        <pm:color name="Color 47" rgb="FF5CFF"/>
        <pm:color name="Color 48" rgb="FFFF5C"/>
        <pm:color name="Color 49" rgb="5CFFFF"/>
        <pm:color name="Color 50" rgb="E0FFE0"/>
        <pm:color name="Color 51" rgb="5C5CFF"/>
        <pm:color name="Color 52" rgb="010180"/>
        <pm:color name="Color 53" rgb="E0FFFF"/>
        <pm:color name="Color 54" rgb="5CFF5C"/>
        <pm:color name="Color 55" rgb="FFFF3D"/>
        <pm:color name="Color 56" rgb="0000A3"/>
        <pm:color name="Color 57" rgb="9E9EFF"/>
        <pm:color name="Color 58" rgb="0000D1"/>
        <pm:color name="greenblue" rgb="098458"/>
        <pm:color name="White 2" rgb="175327"/>
        <pm:color name="Color 61" rgb="D10000"/>
        <pm:color name="Color 62" rgb="FBC4C4"/>
        <pm:color name="Color 63" rgb="FFE0E0"/>
        <pm:color name="Color 64" rgb="B5B5B5"/>
        <pm:color name="Color 65" rgb="FFFF9E"/>
        <pm:color name="Color 66" rgb="800180"/>
        <pm:color name="Color 67" rgb="D100D1"/>
        <pm:color name="Color 68" rgb="FF9EFF"/>
        <pm:color name="Color 69" rgb="FFE0FF"/>
        <pm:color name="Color 70" rgb="FFFFE0"/>
        <pm:color name="Color 71" rgb="474747"/>
        <pm:color name="Color 72" rgb="6A3504"/>
        <pm:color name="Color 73" rgb="018080"/>
        <pm:color name="Color 74" rgb="00A300"/>
        <pm:color name="Color 75" rgb="4E4E01"/>
        <pm:color name="Color 76" rgb="D9D9D9"/>
        <pm:color name="Dark Magenta 2" rgb="600060"/>
        <pm:color name="White 3" rgb="74420A"/>
        <pm:color name="Color 79" rgb="A30000"/>
        <pm:color name="Color 80" rgb="00A3A3"/>
        <pm:color name="Color 81" rgb="800101"/>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pivotCacheDefinition" Target="pivotCache/pivotCacheDefinition1.xml"/><Relationship Id="rId20" Type="http://schemas.openxmlformats.org/officeDocument/2006/relationships/pivotCacheDefinition" Target="pivotCache/pivotCacheDefinition2.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style val="2"/>
  <c:chart>
    <c:title>
      <c:tx>
        <c:rich>
          <a:bodyPr anchor="ctr" anchorCtr="1" rot="0"/>
          <a:lstStyle/>
          <a:p>
            <a:pPr>
              <a:defRPr lang="en-us" sz="1125" b="1" i="0" u="none" strike="noStrike" kern="100">
                <a:solidFill>
                  <a:srgbClr val="00007F"/>
                </a:solidFill>
                <a:latin typeface="Arial" charset="0"/>
              </a:defRPr>
            </a:pPr>
            <a:r>
              <a:t>Segment Premium: April-25 vs April-26</a:t>
            </a:r>
          </a:p>
        </c:rich>
      </c:tx>
      <c:layout>
        <c:manualLayout>
          <c:xMode val="edge"/>
          <c:yMode val="edge"/>
          <c:wMode val="factor"/>
          <c:hMode val="factor"/>
          <c:x val="0.247500"/>
          <c:y val="0.000000"/>
          <c:w val="0.378500"/>
          <c:h val="0.072750"/>
        </c:manualLayout>
      </c:layout>
      <c:overlay val="0"/>
      <c:spPr>
        <a:noFill/>
        <a:ln w="9525">
          <a:noFill/>
        </a:ln>
      </c:spPr>
    </c:title>
    <c:plotArea>
      <c:layout>
        <c:manualLayout>
          <c:xMode val="edge"/>
          <c:yMode val="edge"/>
          <c:wMode val="factor"/>
          <c:hMode val="factor"/>
          <c:x val="0.155750"/>
          <c:y val="0.184250"/>
          <c:w val="0.659250"/>
          <c:h val="0.692500"/>
        </c:manualLayout>
      </c:layout>
      <c:barChart>
        <c:barDir val="col"/>
        <c:grouping val="standard"/>
        <c:ser>
          <c:idx val="0"/>
          <c:order val="0"/>
          <c:tx>
            <c:strRef>
              <c:f>Analysis!$B$8</c:f>
              <c:strCache>
                <c:ptCount val="1"/>
                <c:pt idx="0">
                  <c:v>46137</c:v>
                </c:pt>
              </c:strCache>
            </c:strRef>
          </c:tx>
          <c:spPr>
            <a:solidFill>
              <a:srgbClr val="00007F"/>
            </a:solidFill>
          </c:spPr>
          <c:dLbls>
            <c:numFmt formatCode="General" sourceLinked="1"/>
            <c:spPr>
              <a:noFill/>
              <a:ln w="9525">
                <a:noFill/>
              </a:ln>
            </c:spPr>
            <c:txPr>
              <a:bodyPr anchor="ctr" anchorCtr="1" rot="0"/>
              <a:lstStyle/>
              <a:p>
                <a:pPr>
                  <a:defRPr lang="en-us" sz="805" b="0" i="0" u="none" strike="noStrike" kern="100">
                    <a:solidFill>
                      <a:srgbClr val="000000"/>
                    </a:solidFill>
                    <a:latin typeface="Arial" charset="0"/>
                  </a:defRPr>
                </a:pPr>
              </a:p>
            </c:txPr>
            <c:dLblPos val="inEnd"/>
            <c:showLegendKey val="0"/>
            <c:showVal val="0"/>
            <c:showCatName val="0"/>
            <c:showSerName val="0"/>
            <c:showPercent val="0"/>
            <c:showBubbleSize val="0"/>
            <c:showLeaderLines val="0"/>
          </c:dLbls>
          <c:cat>
            <c:strRef>
              <c:f>Analysis!$A$9:$A$12</c:f>
              <c:strCache>
                <c:ptCount val="4"/>
                <c:pt idx="0">
                  <c:v>Fire</c:v>
                </c:pt>
                <c:pt idx="1">
                  <c:v>Health</c:v>
                </c:pt>
                <c:pt idx="2">
                  <c:v>Marine</c:v>
                </c:pt>
                <c:pt idx="3">
                  <c:v>Motor</c:v>
                </c:pt>
              </c:strCache>
            </c:strRef>
          </c:cat>
          <c:val>
            <c:numRef>
              <c:f>Analysis!$B$9:$B$12</c:f>
              <c:numCache>
                <c:formatCode>General</c:formatCode>
                <c:ptCount val="4"/>
                <c:pt idx="0">
                  <c:v>6512.37</c:v>
                </c:pt>
                <c:pt idx="1">
                  <c:v>13891.29</c:v>
                </c:pt>
                <c:pt idx="2">
                  <c:v>870.42</c:v>
                </c:pt>
                <c:pt idx="3">
                  <c:v>7869.11</c:v>
                </c:pt>
              </c:numCache>
            </c:numRef>
          </c:val>
          <c:extLst>
            <c:ext xmlns:sm="sm" uri="sm">
              <sm:meanLine>
                <c:spPr>
                  <a:ln w="9525">
                    <a:noFill/>
                  </a:ln>
                </c:spPr>
              </sm:meanLine>
              <sm:minMaxLine>
                <c:spPr>
                  <a:ln w="9525">
                    <a:noFill/>
                  </a:ln>
                </c:spPr>
              </sm:minMaxLine>
              <sm:stDevLine>
                <c:spPr>
                  <a:ln w="9525">
                    <a:noFill/>
                  </a:ln>
                </c:spPr>
              </sm:stDevLine>
              <sm:trendLine>
                <c:spPr>
                  <a:ln w="9525">
                    <a:noFill/>
                  </a:ln>
                </c:spPr>
              </sm:trendLine>
            </c:ext>
          </c:extLst>
        </c:ser>
        <c:ser>
          <c:idx val="1"/>
          <c:order val="1"/>
          <c:tx>
            <c:strRef>
              <c:f>Analysis!$D$8</c:f>
              <c:strCache>
                <c:ptCount val="1"/>
                <c:pt idx="0">
                  <c:v>46138</c:v>
                </c:pt>
              </c:strCache>
            </c:strRef>
          </c:tx>
          <c:spPr>
            <a:solidFill>
              <a:srgbClr val="7F0000"/>
            </a:solidFill>
          </c:spPr>
          <c:dLbls>
            <c:numFmt formatCode="General" sourceLinked="1"/>
            <c:spPr>
              <a:noFill/>
              <a:ln w="9525">
                <a:noFill/>
              </a:ln>
            </c:spPr>
            <c:txPr>
              <a:bodyPr anchor="ctr" anchorCtr="1" rot="0"/>
              <a:lstStyle/>
              <a:p>
                <a:pPr>
                  <a:defRPr lang="en-us" sz="805" b="0" i="0" u="none" strike="noStrike" kern="100">
                    <a:solidFill>
                      <a:srgbClr val="000000"/>
                    </a:solidFill>
                    <a:latin typeface="Arial" charset="0"/>
                  </a:defRPr>
                </a:pPr>
              </a:p>
            </c:txPr>
            <c:dLblPos val="outEnd"/>
            <c:showLegendKey val="0"/>
            <c:showVal val="0"/>
            <c:showCatName val="0"/>
            <c:showSerName val="0"/>
            <c:showPercent val="0"/>
            <c:showBubbleSize val="0"/>
            <c:showLeaderLines val="0"/>
          </c:dLbls>
          <c:cat>
            <c:strRef>
              <c:f>Analysis!$A$9:$A$12</c:f>
              <c:strCache>
                <c:ptCount val="4"/>
                <c:pt idx="0">
                  <c:v>Fire</c:v>
                </c:pt>
                <c:pt idx="1">
                  <c:v>Health</c:v>
                </c:pt>
                <c:pt idx="2">
                  <c:v>Marine</c:v>
                </c:pt>
                <c:pt idx="3">
                  <c:v>Motor</c:v>
                </c:pt>
              </c:strCache>
            </c:strRef>
          </c:cat>
          <c:val>
            <c:numRef>
              <c:f>Analysis!$D$9:$D$12</c:f>
              <c:numCache>
                <c:formatCode>General</c:formatCode>
                <c:ptCount val="4"/>
                <c:pt idx="0">
                  <c:v>4498.44</c:v>
                </c:pt>
                <c:pt idx="1">
                  <c:v>16893.33</c:v>
                </c:pt>
                <c:pt idx="2">
                  <c:v>1163.17</c:v>
                </c:pt>
                <c:pt idx="3">
                  <c:v>9099.23</c:v>
                </c:pt>
              </c:numCache>
            </c:numRef>
          </c:val>
          <c:extLst>
            <c:ext xmlns:sm="sm" uri="sm">
              <sm:meanLine>
                <c:spPr>
                  <a:ln w="9525">
                    <a:noFill/>
                  </a:ln>
                </c:spPr>
              </sm:meanLine>
              <sm:minMaxLine>
                <c:spPr>
                  <a:ln w="9525">
                    <a:noFill/>
                  </a:ln>
                </c:spPr>
              </sm:minMaxLine>
              <sm:stDevLine>
                <c:spPr>
                  <a:ln w="9525">
                    <a:noFill/>
                  </a:ln>
                </c:spPr>
              </sm:stDevLine>
              <sm:trendLine>
                <c:spPr>
                  <a:ln w="9525">
                    <a:noFill/>
                  </a:ln>
                </c:spPr>
              </sm:trendLine>
            </c:ext>
          </c:extLst>
        </c:ser>
        <c:dLbls>
          <c:showLegendKey val="0"/>
          <c:showVal val="0"/>
          <c:showCatName val="0"/>
          <c:showSerName val="0"/>
          <c:showPercent val="0"/>
          <c:showBubbleSize val="0"/>
          <c:showLeaderLines val="0"/>
        </c:dLbls>
        <c:gapWidth val="100"/>
        <c:axId val="10"/>
        <c:axId val="11"/>
      </c:barChart>
      <c:catAx>
        <c:axId val="10"/>
        <c:scaling>
          <c:orientation val="minMax"/>
        </c:scaling>
        <c:delete val="0"/>
        <c:axPos val="b"/>
        <c:numFmt formatCode="General" sourceLinked="1"/>
        <c:majorTickMark val="none"/>
        <c:minorTickMark val="none"/>
        <c:tickLblPos val="nextTo"/>
        <c:txPr>
          <a:bodyPr anchor="ctr" anchorCtr="1" rot="0"/>
          <a:lstStyle/>
          <a:p>
            <a:pPr>
              <a:defRPr lang="en-us" sz="1005" b="1" i="0" u="none" strike="noStrike" kern="100">
                <a:solidFill>
                  <a:srgbClr val="000000"/>
                </a:solidFill>
                <a:latin typeface="Arial" charset="0"/>
              </a:defRPr>
            </a:pPr>
          </a:p>
        </c:txPr>
        <c:crossAx val="11"/>
        <c:crosses val="autoZero"/>
        <c:auto val="1"/>
      </c:catAx>
      <c:valAx>
        <c:axId val="11"/>
        <c:scaling>
          <c:orientation val="minMax"/>
        </c:scaling>
        <c:delete val="0"/>
        <c:axPos val="l"/>
        <c:majorGridlines>
          <c:spPr>
            <a:ln w="9525">
              <a:noFill/>
            </a:ln>
          </c:spPr>
        </c:majorGridlines>
        <c:title>
          <c:tx>
            <c:rich>
              <a:bodyPr anchor="ctr" anchorCtr="1" rot="-5400000"/>
              <a:lstStyle/>
              <a:p>
                <a:pPr>
                  <a:defRPr lang="en-us" sz="890" b="1" i="0" u="none" strike="noStrike" kern="100">
                    <a:solidFill>
                      <a:srgbClr val="000000"/>
                    </a:solidFill>
                    <a:latin typeface="Arial" charset="0"/>
                  </a:defRPr>
                </a:pPr>
                <a:r>
                  <a:t>Premium (₹ Crore)</a:t>
                </a:r>
              </a:p>
            </c:rich>
          </c:tx>
          <c:layout>
            <c:manualLayout>
              <c:xMode val="edge"/>
              <c:yMode val="edge"/>
              <c:wMode val="factor"/>
              <c:hMode val="factor"/>
              <c:x val="0.030750"/>
              <c:y val="0.302500"/>
              <c:w val="0.036750"/>
              <c:h val="0.295000"/>
            </c:manualLayout>
          </c:layout>
          <c:spPr>
            <a:noFill/>
            <a:ln w="9525">
              <a:noFill/>
            </a:ln>
          </c:spPr>
        </c:title>
        <c:numFmt formatCode="0%" sourceLinked="1"/>
        <c:majorTickMark val="out"/>
        <c:minorTickMark val="none"/>
        <c:tickLblPos val="nextTo"/>
        <c:txPr>
          <a:bodyPr anchor="ctr" anchorCtr="1" rot="0"/>
          <a:lstStyle/>
          <a:p>
            <a:pPr>
              <a:defRPr lang="en-us" sz="890" b="0" i="0" u="none" strike="noStrike" kern="100">
                <a:solidFill>
                  <a:srgbClr val="000000"/>
                </a:solidFill>
                <a:latin typeface="Arial" charset="0"/>
              </a:defRPr>
            </a:pPr>
          </a:p>
        </c:txPr>
        <c:crossAx val="10"/>
        <c:crosses val="autoZero"/>
        <c:crossBetween val="between"/>
      </c:valAx>
    </c:plotArea>
    <c:legend>
      <c:legendPos val="r"/>
      <c:layout/>
      <c:overlay val="0"/>
      <c:spPr>
        <a:ln w="9525">
          <a:noFill/>
        </a:ln>
      </c:spPr>
      <c:txPr>
        <a:bodyPr anchor="t" rot="0"/>
        <a:lstStyle/>
        <a:p>
          <a:pPr>
            <a:defRPr lang="en-us" sz="1425" b="0" i="0" u="none" strike="noStrike" kern="100">
              <a:solidFill>
                <a:srgbClr val="000000"/>
              </a:solidFill>
              <a:latin typeface="Arial" charset="0"/>
            </a:defRPr>
          </a:pPr>
        </a:p>
      </c:txPr>
    </c:legend>
    <c:plotVisOnly val="1"/>
    <c:dispBlanksAs val="gap"/>
  </c:chart>
  <c:spPr/>
  <c:txPr>
    <a:bodyPr anchor="ctr" anchorCtr="1" rot="0"/>
    <a:lstStyle/>
    <a:p>
      <a:pPr>
        <a:defRPr lang="en-us" sz="1425" b="0" i="0" u="none" strike="noStrike" kern="100">
          <a:solidFill>
            <a:srgbClr val="000000"/>
          </a:solidFill>
          <a:latin typeface="Arial" charset="0"/>
        </a:defRPr>
      </a:pPr>
    </a:p>
  </c:txPr>
  <c:extLst>
    <c:ext xmlns:sm="sm" uri="sm">
      <sm:colorScheme xmlns:sm="sm" id="1780841053" val="7"/>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style val="2"/>
  <c:chart>
    <c:title>
      <c:tx>
        <c:rich>
          <a:bodyPr anchor="ctr" anchorCtr="1" rot="0"/>
          <a:lstStyle/>
          <a:p>
            <a:pPr>
              <a:defRPr lang="en-us" sz="1005" b="1" i="0" u="none" strike="noStrike" kern="100">
                <a:solidFill>
                  <a:srgbClr val="00007F"/>
                </a:solidFill>
                <a:latin typeface="Arial" charset="0"/>
              </a:defRPr>
            </a:pPr>
            <a:r>
              <a:t>Segment Growth %: Apr-25 to Apr-26</a:t>
            </a:r>
          </a:p>
        </c:rich>
      </c:tx>
      <c:layout/>
      <c:overlay val="0"/>
      <c:spPr>
        <a:noFill/>
        <a:ln w="9525">
          <a:noFill/>
        </a:ln>
      </c:spPr>
    </c:title>
    <c:plotArea>
      <c:layout>
        <c:manualLayout>
          <c:xMode val="edge"/>
          <c:yMode val="edge"/>
          <c:wMode val="factor"/>
          <c:hMode val="factor"/>
          <c:x val="0.175000"/>
          <c:y val="0.137250"/>
          <c:w val="0.747750"/>
          <c:h val="0.812250"/>
        </c:manualLayout>
      </c:layout>
      <c:barChart>
        <c:barDir val="col"/>
        <c:grouping val="standard"/>
        <c:ser>
          <c:idx val="0"/>
          <c:order val="0"/>
          <c:tx>
            <c:strRef>
              <c:f>Analysis!$D$69</c:f>
              <c:strCache>
                <c:ptCount val="1"/>
                <c:pt idx="0">
                  <c:v>Growth %</c:v>
                </c:pt>
              </c:strCache>
            </c:strRef>
          </c:tx>
          <c:spPr>
            <a:solidFill>
              <a:srgbClr val="007F00"/>
            </a:solidFill>
          </c:spPr>
          <c:dPt>
            <c:idx val="0"/>
            <c:invertIfNegative val="0"/>
            <c:spPr>
              <a:solidFill>
                <a:srgbClr val="FF0000"/>
              </a:solidFill>
            </c:spPr>
          </c:dPt>
          <c:dLbls>
            <c:numFmt formatCode="0.00%" sourceLinked="1"/>
            <c:spPr>
              <a:noFill/>
              <a:ln w="9525">
                <a:noFill/>
              </a:ln>
            </c:spPr>
            <c:txPr>
              <a:bodyPr anchor="ctr" anchorCtr="1" rot="0"/>
              <a:lstStyle/>
              <a:p>
                <a:pPr>
                  <a:defRPr lang="en-us" sz="1255" b="0" i="0" u="none" strike="noStrike" kern="100">
                    <a:solidFill>
                      <a:srgbClr val="000000"/>
                    </a:solidFill>
                    <a:latin typeface="Arial" charset="0"/>
                  </a:defRPr>
                </a:pPr>
              </a:p>
            </c:txPr>
            <c:dLblPos val="outEnd"/>
            <c:showLegendKey val="0"/>
            <c:showVal val="1"/>
            <c:showCatName val="0"/>
            <c:showSerName val="0"/>
            <c:showPercent val="0"/>
            <c:showBubbleSize val="0"/>
            <c:showLeaderLines val="0"/>
          </c:dLbls>
          <c:cat>
            <c:strRef>
              <c:f>Analysis!$A$70:$A$73</c:f>
              <c:strCache>
                <c:ptCount val="4"/>
                <c:pt idx="0">
                  <c:v>Fire</c:v>
                </c:pt>
                <c:pt idx="1">
                  <c:v>Health</c:v>
                </c:pt>
                <c:pt idx="2">
                  <c:v>Marine</c:v>
                </c:pt>
                <c:pt idx="3">
                  <c:v>Motor</c:v>
                </c:pt>
              </c:strCache>
            </c:strRef>
          </c:cat>
          <c:val>
            <c:numRef>
              <c:f>Analysis!$D$70:$D$73</c:f>
              <c:numCache>
                <c:formatCode>0.00%</c:formatCode>
                <c:ptCount val="4"/>
                <c:pt idx="0">
                  <c:v>-0.3092</c:v>
                </c:pt>
                <c:pt idx="1">
                  <c:v>0.2161</c:v>
                </c:pt>
                <c:pt idx="2">
                  <c:v>0.3363</c:v>
                </c:pt>
                <c:pt idx="3">
                  <c:v>0.1563</c:v>
                </c:pt>
              </c:numCache>
            </c:numRef>
          </c:val>
          <c:extLst>
            <c:ext xmlns:sm="sm" uri="sm">
              <sm:meanLine>
                <c:spPr>
                  <a:ln w="9525">
                    <a:noFill/>
                  </a:ln>
                </c:spPr>
              </sm:meanLine>
              <sm:minMaxLine>
                <c:spPr>
                  <a:ln w="9525">
                    <a:noFill/>
                  </a:ln>
                </c:spPr>
              </sm:minMaxLine>
              <sm:stDevLine>
                <c:spPr>
                  <a:ln w="9525">
                    <a:noFill/>
                  </a:ln>
                </c:spPr>
              </sm:stDevLine>
              <sm:trendLine>
                <c:spPr>
                  <a:ln w="9525">
                    <a:noFill/>
                  </a:ln>
                </c:spPr>
              </sm:trendLine>
            </c:ext>
          </c:extLst>
        </c:ser>
        <c:dLbls>
          <c:showLegendKey val="0"/>
          <c:showVal val="0"/>
          <c:showCatName val="0"/>
          <c:showSerName val="0"/>
          <c:showPercent val="0"/>
          <c:showBubbleSize val="0"/>
          <c:showLeaderLines val="0"/>
        </c:dLbls>
        <c:gapWidth val="100"/>
        <c:axId val="10"/>
        <c:axId val="11"/>
      </c:barChart>
      <c:catAx>
        <c:axId val="10"/>
        <c:scaling>
          <c:orientation val="minMax"/>
        </c:scaling>
        <c:delete val="0"/>
        <c:axPos val="b"/>
        <c:numFmt formatCode="General" sourceLinked="1"/>
        <c:majorTickMark val="none"/>
        <c:minorTickMark val="none"/>
        <c:tickLblPos val="nextTo"/>
        <c:txPr>
          <a:bodyPr anchor="ctr" anchorCtr="1" rot="0"/>
          <a:lstStyle/>
          <a:p>
            <a:pPr>
              <a:defRPr lang="en-us" sz="880" b="1" i="0" u="none" strike="noStrike" kern="100">
                <a:solidFill>
                  <a:srgbClr val="000000"/>
                </a:solidFill>
                <a:latin typeface="Arial" charset="0"/>
              </a:defRPr>
            </a:pPr>
          </a:p>
        </c:txPr>
        <c:crossAx val="11"/>
        <c:crosses val="autoZero"/>
        <c:auto val="1"/>
      </c:catAx>
      <c:valAx>
        <c:axId val="11"/>
        <c:scaling>
          <c:orientation val="minMax"/>
        </c:scaling>
        <c:delete val="0"/>
        <c:axPos val="l"/>
        <c:majorGridlines>
          <c:spPr>
            <a:ln w="9525">
              <a:noFill/>
            </a:ln>
          </c:spPr>
        </c:majorGridlines>
        <c:title>
          <c:tx>
            <c:rich>
              <a:bodyPr anchor="ctr" anchorCtr="1" rot="-5400000"/>
              <a:lstStyle/>
              <a:p>
                <a:pPr>
                  <a:defRPr lang="en-us" sz="1005" b="1" i="0" u="none" strike="noStrike" kern="100">
                    <a:solidFill>
                      <a:srgbClr val="000000"/>
                    </a:solidFill>
                    <a:latin typeface="Arial" charset="0"/>
                  </a:defRPr>
                </a:pPr>
                <a:r>
                  <a:t>Growth %</a:t>
                </a:r>
              </a:p>
            </c:rich>
          </c:tx>
          <c:layout>
            <c:manualLayout>
              <c:xMode val="edge"/>
              <c:yMode val="edge"/>
              <c:wMode val="factor"/>
              <c:hMode val="factor"/>
              <c:x val="0.040250"/>
              <c:y val="0.452750"/>
              <c:w val="0.042000"/>
              <c:h val="0.189250"/>
            </c:manualLayout>
          </c:layout>
          <c:spPr>
            <a:noFill/>
            <a:ln w="9525">
              <a:noFill/>
            </a:ln>
          </c:spPr>
        </c:title>
        <c:numFmt formatCode="General" sourceLinked="1"/>
        <c:majorTickMark val="in"/>
        <c:minorTickMark val="none"/>
        <c:tickLblPos val="nextTo"/>
        <c:txPr>
          <a:bodyPr anchor="ctr" anchorCtr="1" rot="0"/>
          <a:lstStyle/>
          <a:p>
            <a:pPr>
              <a:defRPr lang="en-us" sz="880" b="0" i="0" u="none" strike="noStrike" kern="100">
                <a:solidFill>
                  <a:srgbClr val="000000"/>
                </a:solidFill>
                <a:latin typeface="Arial" charset="0"/>
              </a:defRPr>
            </a:pPr>
          </a:p>
        </c:txPr>
        <c:crossAx val="10"/>
        <c:crosses val="autoZero"/>
        <c:crossBetween val="between"/>
      </c:valAx>
    </c:plotArea>
    <c:plotVisOnly val="1"/>
    <c:dispBlanksAs val="gap"/>
  </c:chart>
  <c:spPr/>
  <c:txPr>
    <a:bodyPr anchor="ctr" anchorCtr="1" rot="0"/>
    <a:lstStyle/>
    <a:p>
      <a:pPr>
        <a:defRPr lang="en-us" sz="1165" b="0" i="0" u="none" strike="noStrike" kern="100">
          <a:solidFill>
            <a:srgbClr val="000000"/>
          </a:solidFill>
          <a:latin typeface="Arial" charset="0"/>
        </a:defRPr>
      </a:pPr>
    </a:p>
  </c:txPr>
  <c:extLst>
    <c:ext xmlns:sm="sm" uri="sm">
      <sm:colorScheme xmlns:sm="sm" id="1780841053" val="7"/>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style val="3"/>
  <c:chart>
    <c:title>
      <c:tx>
        <c:rich>
          <a:bodyPr anchor="ctr" anchorCtr="1" rot="0"/>
          <a:lstStyle/>
          <a:p>
            <a:pPr>
              <a:defRPr lang="en-us" sz="985" b="1" i="0" u="none" strike="noStrike" kern="100">
                <a:solidFill>
                  <a:srgbClr val="00007F"/>
                </a:solidFill>
                <a:latin typeface="Arial" charset="0"/>
              </a:defRPr>
            </a:pPr>
            <a:r>
              <a:t>Top 10 Insurers by April-26 Premium</a:t>
            </a:r>
          </a:p>
          <a:p>
            <a:pPr>
              <a:defRPr lang="en-us" sz="985" b="1" i="0" u="none" strike="noStrike" kern="100">
                <a:solidFill>
                  <a:srgbClr val="00007F"/>
                </a:solidFill>
                <a:latin typeface="Arial" charset="0"/>
              </a:defRPr>
            </a:pPr>
            <a:r>
              <a:t/>
            </a:r>
          </a:p>
        </c:rich>
      </c:tx>
      <c:layout>
        <c:manualLayout>
          <c:xMode val="edge"/>
          <c:yMode val="edge"/>
          <c:wMode val="factor"/>
          <c:hMode val="factor"/>
          <c:x val="0.221250"/>
          <c:y val="0.023250"/>
          <c:w val="0.315000"/>
          <c:h val="0.112000"/>
        </c:manualLayout>
      </c:layout>
      <c:overlay val="0"/>
      <c:spPr>
        <a:noFill/>
        <a:ln w="9525">
          <a:noFill/>
        </a:ln>
      </c:spPr>
    </c:title>
    <c:plotArea>
      <c:layout>
        <c:manualLayout>
          <c:xMode val="edge"/>
          <c:yMode val="edge"/>
          <c:wMode val="factor"/>
          <c:hMode val="factor"/>
          <c:x val="0.169500"/>
          <c:y val="0.160500"/>
          <c:w val="0.751000"/>
          <c:h val="0.707750"/>
        </c:manualLayout>
      </c:layout>
      <c:barChart>
        <c:barDir val="bar"/>
        <c:grouping val="standard"/>
        <c:ser>
          <c:idx val="0"/>
          <c:order val="0"/>
          <c:tx>
            <c:strRef>
              <c:f>Analysis!$Q$45</c:f>
              <c:strCache>
                <c:ptCount val="1"/>
                <c:pt idx="0">
                  <c:v>April-26 Premium</c:v>
                </c:pt>
              </c:strCache>
            </c:strRef>
          </c:tx>
          <c:spPr>
            <a:solidFill>
              <a:srgbClr val="00007F"/>
            </a:solidFill>
            <a:ln w="9525">
              <a:solidFill>
                <a:srgbClr val="000000"/>
              </a:solidFill>
            </a:ln>
          </c:spPr>
          <c:dPt>
            <c:idx val="9"/>
            <c:invertIfNegative val="0"/>
            <c:spPr>
              <a:solidFill>
                <a:srgbClr val="0000FF"/>
              </a:solidFill>
              <a:ln w="9525">
                <a:solidFill>
                  <a:srgbClr val="000000"/>
                </a:solidFill>
              </a:ln>
            </c:spPr>
          </c:dPt>
          <c:dLbls>
            <c:dLbl>
              <c:idx val="9"/>
              <c:numFmt formatCode="0.00" sourceLinked="1"/>
              <c:spPr>
                <a:noFill/>
                <a:ln w="9525">
                  <a:noFill/>
                </a:ln>
              </c:spPr>
              <c:txPr>
                <a:bodyPr anchor="ctr" anchorCtr="1" rot="0"/>
                <a:lstStyle/>
                <a:p>
                  <a:pPr>
                    <a:defRPr lang="en-us" sz="615" b="0" i="0" u="none" strike="noStrike" kern="100">
                      <a:solidFill>
                        <a:srgbClr val="000000"/>
                      </a:solidFill>
                      <a:latin typeface="Arial" charset="0"/>
                    </a:defRPr>
                  </a:pPr>
                </a:p>
              </c:txPr>
              <c:dLblPos val="outEnd"/>
              <c:showLegendKey val="0"/>
              <c:showVal val="1"/>
              <c:showCatName val="0"/>
              <c:showSerName val="0"/>
              <c:showPercent val="0"/>
              <c:showBubbleSize val="0"/>
            </c:dLbl>
            <c:dLbl>
              <c:idx val="1"/>
              <c:numFmt formatCode="0.00" sourceLinked="1"/>
              <c:spPr>
                <a:noFill/>
                <a:ln w="9525">
                  <a:noFill/>
                </a:ln>
              </c:spPr>
              <c:txPr>
                <a:bodyPr anchor="ctr" anchorCtr="1" rot="0"/>
                <a:lstStyle/>
                <a:p>
                  <a:pPr>
                    <a:defRPr lang="en-us" sz="615" b="0" i="0" u="none" strike="noStrike" kern="100">
                      <a:solidFill>
                        <a:srgbClr val="000000"/>
                      </a:solidFill>
                      <a:latin typeface="Arial" charset="0"/>
                    </a:defRPr>
                  </a:pPr>
                </a:p>
              </c:txPr>
              <c:dLblPos val="outEnd"/>
              <c:showLegendKey val="0"/>
              <c:showVal val="1"/>
              <c:showCatName val="0"/>
              <c:showSerName val="0"/>
              <c:showPercent val="0"/>
              <c:showBubbleSize val="0"/>
            </c:dLbl>
            <c:dLbl>
              <c:idx val="0"/>
              <c:numFmt formatCode="0.00" sourceLinked="1"/>
              <c:spPr>
                <a:noFill/>
                <a:ln w="9525">
                  <a:noFill/>
                </a:ln>
              </c:spPr>
              <c:txPr>
                <a:bodyPr anchor="ctr" anchorCtr="1" rot="0"/>
                <a:lstStyle/>
                <a:p>
                  <a:pPr>
                    <a:defRPr lang="en-us" sz="615" b="0" i="0" u="none" strike="noStrike" kern="100">
                      <a:solidFill>
                        <a:srgbClr val="000000"/>
                      </a:solidFill>
                      <a:latin typeface="Arial" charset="0"/>
                    </a:defRPr>
                  </a:pPr>
                </a:p>
              </c:txPr>
              <c:dLblPos val="outEnd"/>
              <c:showLegendKey val="0"/>
              <c:showVal val="1"/>
              <c:showCatName val="0"/>
              <c:showSerName val="0"/>
              <c:showPercent val="0"/>
              <c:showBubbleSize val="0"/>
            </c:dLbl>
            <c:dLbl>
              <c:idx val="4"/>
              <c:numFmt formatCode="0.00" sourceLinked="1"/>
              <c:spPr>
                <a:noFill/>
                <a:ln w="9525">
                  <a:noFill/>
                </a:ln>
              </c:spPr>
              <c:txPr>
                <a:bodyPr anchor="ctr" anchorCtr="1" rot="0"/>
                <a:lstStyle/>
                <a:p>
                  <a:pPr>
                    <a:defRPr lang="en-us" sz="615" b="0" i="0" u="none" strike="noStrike" kern="100">
                      <a:solidFill>
                        <a:srgbClr val="000000"/>
                      </a:solidFill>
                      <a:latin typeface="Arial" charset="0"/>
                    </a:defRPr>
                  </a:pPr>
                </a:p>
              </c:txPr>
              <c:dLblPos val="outEnd"/>
              <c:showLegendKey val="0"/>
              <c:showVal val="1"/>
              <c:showCatName val="0"/>
              <c:showSerName val="0"/>
              <c:showPercent val="0"/>
              <c:showBubbleSize val="0"/>
            </c:dLbl>
            <c:dLbl>
              <c:idx val="5"/>
              <c:numFmt formatCode="0.00" sourceLinked="1"/>
              <c:spPr>
                <a:noFill/>
                <a:ln w="9525">
                  <a:noFill/>
                </a:ln>
              </c:spPr>
              <c:txPr>
                <a:bodyPr anchor="ctr" anchorCtr="1" rot="0"/>
                <a:lstStyle/>
                <a:p>
                  <a:pPr>
                    <a:defRPr lang="en-us" sz="615" b="0" i="0" u="none" strike="noStrike" kern="100">
                      <a:solidFill>
                        <a:srgbClr val="000000"/>
                      </a:solidFill>
                      <a:latin typeface="Arial" charset="0"/>
                    </a:defRPr>
                  </a:pPr>
                </a:p>
              </c:txPr>
              <c:dLblPos val="outEnd"/>
              <c:showLegendKey val="0"/>
              <c:showVal val="1"/>
              <c:showCatName val="0"/>
              <c:showSerName val="0"/>
              <c:showPercent val="0"/>
              <c:showBubbleSize val="0"/>
            </c:dLbl>
            <c:dLbl>
              <c:idx val="8"/>
              <c:numFmt formatCode="0.00" sourceLinked="1"/>
              <c:spPr>
                <a:noFill/>
                <a:ln w="9525">
                  <a:noFill/>
                </a:ln>
              </c:spPr>
              <c:txPr>
                <a:bodyPr anchor="ctr" anchorCtr="1" rot="0"/>
                <a:lstStyle/>
                <a:p>
                  <a:pPr>
                    <a:defRPr lang="en-us" sz="615" b="0" i="0" u="none" strike="noStrike" kern="100">
                      <a:solidFill>
                        <a:srgbClr val="000000"/>
                      </a:solidFill>
                      <a:latin typeface="Arial" charset="0"/>
                    </a:defRPr>
                  </a:pPr>
                </a:p>
              </c:txPr>
              <c:dLblPos val="outEnd"/>
              <c:showLegendKey val="0"/>
              <c:showVal val="1"/>
              <c:showCatName val="0"/>
              <c:showSerName val="0"/>
              <c:showPercent val="0"/>
              <c:showBubbleSize val="0"/>
            </c:dLbl>
            <c:dLbl>
              <c:idx val="7"/>
              <c:numFmt formatCode="0.00" sourceLinked="1"/>
              <c:spPr>
                <a:noFill/>
                <a:ln w="9525">
                  <a:noFill/>
                </a:ln>
              </c:spPr>
              <c:txPr>
                <a:bodyPr anchor="ctr" anchorCtr="1" rot="0"/>
                <a:lstStyle/>
                <a:p>
                  <a:pPr>
                    <a:defRPr lang="en-us" sz="615" b="0" i="0" u="none" strike="noStrike" kern="100">
                      <a:solidFill>
                        <a:srgbClr val="000000"/>
                      </a:solidFill>
                      <a:latin typeface="Arial" charset="0"/>
                    </a:defRPr>
                  </a:pPr>
                </a:p>
              </c:txPr>
              <c:dLblPos val="outEnd"/>
              <c:showLegendKey val="0"/>
              <c:showVal val="1"/>
              <c:showCatName val="0"/>
              <c:showSerName val="0"/>
              <c:showPercent val="0"/>
              <c:showBubbleSize val="0"/>
            </c:dLbl>
            <c:dLbl>
              <c:idx val="6"/>
              <c:numFmt formatCode="0.00" sourceLinked="1"/>
              <c:spPr>
                <a:noFill/>
                <a:ln w="9525">
                  <a:noFill/>
                </a:ln>
              </c:spPr>
              <c:txPr>
                <a:bodyPr anchor="ctr" anchorCtr="1" rot="0"/>
                <a:lstStyle/>
                <a:p>
                  <a:pPr>
                    <a:defRPr lang="en-us" sz="615" b="0" i="0" u="none" strike="noStrike" kern="100">
                      <a:solidFill>
                        <a:srgbClr val="000000"/>
                      </a:solidFill>
                      <a:latin typeface="Arial" charset="0"/>
                    </a:defRPr>
                  </a:pPr>
                </a:p>
              </c:txPr>
              <c:dLblPos val="outEnd"/>
              <c:showLegendKey val="0"/>
              <c:showVal val="1"/>
              <c:showCatName val="0"/>
              <c:showSerName val="0"/>
              <c:showPercent val="0"/>
              <c:showBubbleSize val="0"/>
            </c:dLbl>
            <c:numFmt formatCode="0.00" sourceLinked="1"/>
            <c:spPr>
              <a:noFill/>
              <a:ln w="9525">
                <a:noFill/>
              </a:ln>
            </c:spPr>
            <c:txPr>
              <a:bodyPr anchor="ctr" anchorCtr="1" rot="0"/>
              <a:lstStyle/>
              <a:p>
                <a:pPr>
                  <a:defRPr lang="en-us" sz="615" b="0" i="0" u="none" strike="noStrike" kern="100">
                    <a:solidFill>
                      <a:srgbClr val="000000"/>
                    </a:solidFill>
                    <a:latin typeface="Arial" charset="0"/>
                  </a:defRPr>
                </a:pPr>
              </a:p>
            </c:txPr>
            <c:dLblPos val="outEnd"/>
            <c:showLegendKey val="0"/>
            <c:showVal val="1"/>
            <c:showCatName val="0"/>
            <c:showSerName val="0"/>
            <c:showPercent val="0"/>
            <c:showBubbleSize val="0"/>
            <c:showLeaderLines val="0"/>
          </c:dLbls>
          <c:cat>
            <c:strRef>
              <c:f>Analysis!$P$46:$P$55</c:f>
              <c:strCache>
                <c:ptCount val="10"/>
                <c:pt idx="0">
                  <c:v>SBI General</c:v>
                </c:pt>
                <c:pt idx="1">
                  <c:v>IndusInd</c:v>
                </c:pt>
                <c:pt idx="2">
                  <c:v>National</c:v>
                </c:pt>
                <c:pt idx="3">
                  <c:v>HDFC Ergo</c:v>
                </c:pt>
                <c:pt idx="4">
                  <c:v>United India</c:v>
                </c:pt>
                <c:pt idx="5">
                  <c:v>Bajaj</c:v>
                </c:pt>
                <c:pt idx="6">
                  <c:v>Oriental</c:v>
                </c:pt>
                <c:pt idx="7">
                  <c:v>Tata AIG</c:v>
                </c:pt>
                <c:pt idx="8">
                  <c:v>ICICI Lombard</c:v>
                </c:pt>
                <c:pt idx="9">
                  <c:v>New India</c:v>
                </c:pt>
              </c:strCache>
            </c:strRef>
          </c:cat>
          <c:val>
            <c:numRef>
              <c:f>Analysis!$Q$46:$Q$55</c:f>
              <c:numCache>
                <c:formatCode>0.00</c:formatCode>
                <c:ptCount val="10"/>
                <c:pt idx="0">
                  <c:v>1299.53</c:v>
                </c:pt>
                <c:pt idx="1">
                  <c:v>1563.91</c:v>
                </c:pt>
                <c:pt idx="2">
                  <c:v>1605.18</c:v>
                </c:pt>
                <c:pt idx="3">
                  <c:v>1743.28</c:v>
                </c:pt>
                <c:pt idx="4">
                  <c:v>2117.24</c:v>
                </c:pt>
                <c:pt idx="5">
                  <c:v>2665.55</c:v>
                </c:pt>
                <c:pt idx="6">
                  <c:v>2670.24</c:v>
                </c:pt>
                <c:pt idx="7">
                  <c:v>2845.41</c:v>
                </c:pt>
                <c:pt idx="8">
                  <c:v>3654</c:v>
                </c:pt>
                <c:pt idx="9">
                  <c:v>6084.98</c:v>
                </c:pt>
              </c:numCache>
            </c:numRef>
          </c:val>
          <c:extLst>
            <c:ext xmlns:sm="sm" uri="sm">
              <sm:meanLine>
                <c:spPr>
                  <a:ln w="9525">
                    <a:noFill/>
                  </a:ln>
                </c:spPr>
              </sm:meanLine>
              <sm:minMaxLine>
                <c:spPr>
                  <a:ln w="9525">
                    <a:noFill/>
                  </a:ln>
                </c:spPr>
              </sm:minMaxLine>
              <sm:stDevLine>
                <c:spPr>
                  <a:ln w="9525">
                    <a:noFill/>
                  </a:ln>
                </c:spPr>
              </sm:stDevLine>
              <sm:trendLine>
                <c:spPr>
                  <a:ln w="9525">
                    <a:noFill/>
                  </a:ln>
                </c:spPr>
              </sm:trendLine>
            </c:ext>
          </c:extLst>
        </c:ser>
        <c:dLbls>
          <c:showLegendKey val="0"/>
          <c:showVal val="0"/>
          <c:showCatName val="0"/>
          <c:showSerName val="0"/>
          <c:showPercent val="0"/>
          <c:showBubbleSize val="0"/>
          <c:showLeaderLines val="0"/>
        </c:dLbls>
        <c:gapWidth val="100"/>
        <c:axId val="10"/>
        <c:axId val="11"/>
      </c:barChart>
      <c:catAx>
        <c:axId val="10"/>
        <c:scaling>
          <c:orientation val="minMax"/>
        </c:scaling>
        <c:delete val="0"/>
        <c:axPos val="b"/>
        <c:title>
          <c:tx>
            <c:rich>
              <a:bodyPr anchor="ctr" anchorCtr="1" rot="0"/>
              <a:lstStyle/>
              <a:p>
                <a:pPr>
                  <a:defRPr lang="en-us" sz="615" b="1" i="0" u="none" strike="noStrike" kern="100">
                    <a:solidFill>
                      <a:srgbClr val="000000"/>
                    </a:solidFill>
                    <a:latin typeface="Arial" charset="0"/>
                  </a:defRPr>
                </a:pPr>
                <a:r>
                  <a:t>Premium (₹ Crore)</a:t>
                </a:r>
              </a:p>
            </c:rich>
          </c:tx>
          <c:layout>
            <c:manualLayout>
              <c:xMode val="edge"/>
              <c:yMode val="edge"/>
              <c:wMode val="factor"/>
              <c:hMode val="factor"/>
              <c:x val="0.435000"/>
              <c:y val="0.937500"/>
              <c:w val="0.105000"/>
              <c:h val="0.042250"/>
            </c:manualLayout>
          </c:layout>
          <c:spPr>
            <a:noFill/>
            <a:ln w="9525">
              <a:noFill/>
            </a:ln>
          </c:spPr>
        </c:title>
        <c:numFmt formatCode="General" sourceLinked="1"/>
        <c:majorTickMark val="none"/>
        <c:minorTickMark val="in"/>
        <c:tickLblPos val="nextTo"/>
        <c:txPr>
          <a:bodyPr anchor="ctr" anchorCtr="1" rot="0"/>
          <a:lstStyle/>
          <a:p>
            <a:pPr>
              <a:defRPr lang="en-us" sz="700" b="1" i="0" u="none" strike="noStrike" kern="100">
                <a:solidFill>
                  <a:srgbClr val="000000"/>
                </a:solidFill>
                <a:latin typeface="Arial" charset="0"/>
              </a:defRPr>
            </a:pPr>
          </a:p>
        </c:txPr>
        <c:crossAx val="11"/>
        <c:crosses val="autoZero"/>
        <c:auto val="1"/>
      </c:catAx>
      <c:valAx>
        <c:axId val="11"/>
        <c:scaling>
          <c:orientation val="minMax"/>
          <c:min val="0.000000"/>
        </c:scaling>
        <c:delete val="0"/>
        <c:axPos val="l"/>
        <c:majorGridlines>
          <c:spPr>
            <a:ln w="9525">
              <a:noFill/>
            </a:ln>
          </c:spPr>
        </c:majorGridlines>
        <c:numFmt formatCode="0" sourceLinked="0"/>
        <c:majorTickMark val="out"/>
        <c:minorTickMark val="none"/>
        <c:tickLblPos val="nextTo"/>
        <c:txPr>
          <a:bodyPr anchor="ctr" anchorCtr="1" rot="0"/>
          <a:lstStyle/>
          <a:p>
            <a:pPr>
              <a:defRPr lang="en-us" sz="600" b="0" i="0" u="none" strike="noStrike" kern="100">
                <a:solidFill>
                  <a:srgbClr val="000000"/>
                </a:solidFill>
                <a:latin typeface="Arial" charset="0"/>
              </a:defRPr>
            </a:pPr>
          </a:p>
        </c:txPr>
        <c:crossAx val="10"/>
        <c:crosses val="autoZero"/>
        <c:crossBetween val="between"/>
        <c:majorUnit val="1000.000000"/>
      </c:valAx>
    </c:plotArea>
    <c:plotVisOnly val="1"/>
    <c:dispBlanksAs val="gap"/>
  </c:chart>
  <c:spPr>
    <a:solidFill>
      <a:srgbClr val="FFFFFF"/>
    </a:solidFill>
  </c:spPr>
  <c:txPr>
    <a:bodyPr anchor="ctr" anchorCtr="1" rot="0"/>
    <a:lstStyle/>
    <a:p>
      <a:pPr>
        <a:defRPr lang="en-us" sz="1230" b="0" i="0" u="none" strike="noStrike" kern="100">
          <a:solidFill>
            <a:srgbClr val="000000"/>
          </a:solidFill>
          <a:latin typeface="Arial" charset="0"/>
        </a:defRPr>
      </a:pPr>
    </a:p>
  </c:txPr>
  <c:extLst>
    <c:ext xmlns:sm="sm" uri="sm">
      <sm:colorScheme xmlns:sm="sm" id="1780841053" val="8"/>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roundedCorners val="0"/>
  <c:style val="3"/>
  <c:chart>
    <c:title>
      <c:tx>
        <c:rich>
          <a:bodyPr anchor="ctr" anchorCtr="1" rot="0"/>
          <a:lstStyle/>
          <a:p>
            <a:pPr>
              <a:defRPr lang="en-us" sz="1550" b="1" i="0" u="none" strike="noStrike" kern="100">
                <a:solidFill>
                  <a:srgbClr val="00007F"/>
                </a:solidFill>
                <a:latin typeface="Arial" charset="0"/>
              </a:defRPr>
            </a:pPr>
            <a:r>
              <a:t>Top 10 Insurers by April-26 Premium</a:t>
            </a:r>
          </a:p>
          <a:p>
            <a:pPr>
              <a:defRPr lang="en-us" sz="1550" b="1" i="0" u="none" strike="noStrike" kern="100">
                <a:solidFill>
                  <a:srgbClr val="00007F"/>
                </a:solidFill>
                <a:latin typeface="Arial" charset="0"/>
              </a:defRPr>
            </a:pPr>
            <a:r>
              <a:t/>
            </a:r>
          </a:p>
        </c:rich>
      </c:tx>
      <c:layout>
        <c:manualLayout>
          <c:xMode val="edge"/>
          <c:yMode val="edge"/>
          <c:wMode val="factor"/>
          <c:hMode val="factor"/>
          <c:x val="0.221250"/>
          <c:y val="0.023250"/>
          <c:w val="0.427250"/>
          <c:h val="0.154500"/>
        </c:manualLayout>
      </c:layout>
      <c:overlay val="0"/>
      <c:spPr>
        <a:noFill/>
        <a:ln w="9525">
          <a:noFill/>
        </a:ln>
      </c:spPr>
    </c:title>
    <c:plotArea>
      <c:layout>
        <c:manualLayout>
          <c:xMode val="edge"/>
          <c:yMode val="edge"/>
          <c:wMode val="factor"/>
          <c:hMode val="factor"/>
          <c:x val="0.169500"/>
          <c:y val="0.160500"/>
          <c:w val="0.751000"/>
          <c:h val="0.707750"/>
        </c:manualLayout>
      </c:layout>
      <c:barChart>
        <c:barDir val="bar"/>
        <c:grouping val="standard"/>
        <c:ser>
          <c:idx val="0"/>
          <c:order val="0"/>
          <c:tx>
            <c:strRef>
              <c:f>Analysis!$Q$45</c:f>
              <c:strCache>
                <c:ptCount val="1"/>
                <c:pt idx="0">
                  <c:v>April-26 Premium</c:v>
                </c:pt>
              </c:strCache>
            </c:strRef>
          </c:tx>
          <c:spPr>
            <a:solidFill>
              <a:srgbClr val="00007F"/>
            </a:solidFill>
            <a:ln w="9525">
              <a:solidFill>
                <a:srgbClr val="000000"/>
              </a:solidFill>
            </a:ln>
          </c:spPr>
          <c:dPt>
            <c:idx val="9"/>
            <c:invertIfNegative val="0"/>
            <c:spPr>
              <a:solidFill>
                <a:srgbClr val="0000FF"/>
              </a:solidFill>
              <a:ln w="9525">
                <a:solidFill>
                  <a:srgbClr val="000000"/>
                </a:solidFill>
              </a:ln>
            </c:spPr>
          </c:dPt>
          <c:dLbls>
            <c:dLbl>
              <c:idx val="9"/>
              <c:numFmt formatCode="General" sourceLinked="1"/>
              <c:spPr>
                <a:noFill/>
                <a:ln w="9525">
                  <a:noFill/>
                </a:ln>
              </c:spPr>
              <c:txPr>
                <a:bodyPr anchor="ctr" anchorCtr="1" rot="0"/>
                <a:lstStyle/>
                <a:p>
                  <a:pPr>
                    <a:defRPr lang="en-us" sz="970" b="0" i="0" u="none" strike="noStrike" kern="100">
                      <a:solidFill>
                        <a:srgbClr val="000000"/>
                      </a:solidFill>
                      <a:latin typeface="Arial" charset="0"/>
                    </a:defRPr>
                  </a:pPr>
                </a:p>
              </c:txPr>
              <c:dLblPos val="outEnd"/>
              <c:showLegendKey val="0"/>
              <c:showVal val="1"/>
              <c:showCatName val="0"/>
              <c:showSerName val="0"/>
              <c:showPercent val="0"/>
              <c:showBubbleSize val="0"/>
            </c:dLbl>
            <c:dLbl>
              <c:idx val="1"/>
              <c:numFmt formatCode="General" sourceLinked="1"/>
              <c:spPr>
                <a:noFill/>
                <a:ln w="9525">
                  <a:noFill/>
                </a:ln>
              </c:spPr>
              <c:txPr>
                <a:bodyPr anchor="ctr" anchorCtr="1" rot="0"/>
                <a:lstStyle/>
                <a:p>
                  <a:pPr>
                    <a:defRPr lang="en-us" sz="970" b="0" i="0" u="none" strike="noStrike" kern="100">
                      <a:solidFill>
                        <a:srgbClr val="000000"/>
                      </a:solidFill>
                      <a:latin typeface="Arial" charset="0"/>
                    </a:defRPr>
                  </a:pPr>
                </a:p>
              </c:txPr>
              <c:dLblPos val="outEnd"/>
              <c:showLegendKey val="0"/>
              <c:showVal val="1"/>
              <c:showCatName val="0"/>
              <c:showSerName val="0"/>
              <c:showPercent val="0"/>
              <c:showBubbleSize val="0"/>
            </c:dLbl>
            <c:dLbl>
              <c:idx val="0"/>
              <c:numFmt formatCode="General" sourceLinked="1"/>
              <c:spPr>
                <a:noFill/>
                <a:ln w="9525">
                  <a:noFill/>
                </a:ln>
              </c:spPr>
              <c:txPr>
                <a:bodyPr anchor="ctr" anchorCtr="1" rot="0"/>
                <a:lstStyle/>
                <a:p>
                  <a:pPr>
                    <a:defRPr lang="en-us" sz="970" b="0" i="0" u="none" strike="noStrike" kern="100">
                      <a:solidFill>
                        <a:srgbClr val="000000"/>
                      </a:solidFill>
                      <a:latin typeface="Arial" charset="0"/>
                    </a:defRPr>
                  </a:pPr>
                </a:p>
              </c:txPr>
              <c:dLblPos val="outEnd"/>
              <c:showLegendKey val="0"/>
              <c:showVal val="1"/>
              <c:showCatName val="0"/>
              <c:showSerName val="0"/>
              <c:showPercent val="0"/>
              <c:showBubbleSize val="0"/>
            </c:dLbl>
            <c:dLbl>
              <c:idx val="4"/>
              <c:numFmt formatCode="General" sourceLinked="1"/>
              <c:spPr>
                <a:noFill/>
                <a:ln w="9525">
                  <a:noFill/>
                </a:ln>
              </c:spPr>
              <c:txPr>
                <a:bodyPr anchor="ctr" anchorCtr="1" rot="0"/>
                <a:lstStyle/>
                <a:p>
                  <a:pPr>
                    <a:defRPr lang="en-us" sz="970" b="0" i="0" u="none" strike="noStrike" kern="100">
                      <a:solidFill>
                        <a:srgbClr val="000000"/>
                      </a:solidFill>
                      <a:latin typeface="Arial" charset="0"/>
                    </a:defRPr>
                  </a:pPr>
                </a:p>
              </c:txPr>
              <c:dLblPos val="outEnd"/>
              <c:showLegendKey val="0"/>
              <c:showVal val="1"/>
              <c:showCatName val="0"/>
              <c:showSerName val="0"/>
              <c:showPercent val="0"/>
              <c:showBubbleSize val="0"/>
            </c:dLbl>
            <c:dLbl>
              <c:idx val="5"/>
              <c:numFmt formatCode="General" sourceLinked="1"/>
              <c:spPr>
                <a:noFill/>
                <a:ln w="9525">
                  <a:noFill/>
                </a:ln>
              </c:spPr>
              <c:txPr>
                <a:bodyPr anchor="ctr" anchorCtr="1" rot="0"/>
                <a:lstStyle/>
                <a:p>
                  <a:pPr>
                    <a:defRPr lang="en-us" sz="970" b="0" i="0" u="none" strike="noStrike" kern="100">
                      <a:solidFill>
                        <a:srgbClr val="000000"/>
                      </a:solidFill>
                      <a:latin typeface="Arial" charset="0"/>
                    </a:defRPr>
                  </a:pPr>
                </a:p>
              </c:txPr>
              <c:dLblPos val="outEnd"/>
              <c:showLegendKey val="0"/>
              <c:showVal val="1"/>
              <c:showCatName val="0"/>
              <c:showSerName val="0"/>
              <c:showPercent val="0"/>
              <c:showBubbleSize val="0"/>
            </c:dLbl>
            <c:dLbl>
              <c:idx val="8"/>
              <c:numFmt formatCode="General" sourceLinked="1"/>
              <c:spPr>
                <a:noFill/>
                <a:ln w="9525">
                  <a:noFill/>
                </a:ln>
              </c:spPr>
              <c:txPr>
                <a:bodyPr anchor="ctr" anchorCtr="1" rot="0"/>
                <a:lstStyle/>
                <a:p>
                  <a:pPr>
                    <a:defRPr lang="en-us" sz="970" b="0" i="0" u="none" strike="noStrike" kern="100">
                      <a:solidFill>
                        <a:srgbClr val="000000"/>
                      </a:solidFill>
                      <a:latin typeface="Arial" charset="0"/>
                    </a:defRPr>
                  </a:pPr>
                </a:p>
              </c:txPr>
              <c:dLblPos val="outEnd"/>
              <c:showLegendKey val="0"/>
              <c:showVal val="1"/>
              <c:showCatName val="0"/>
              <c:showSerName val="0"/>
              <c:showPercent val="0"/>
              <c:showBubbleSize val="0"/>
            </c:dLbl>
            <c:dLbl>
              <c:idx val="7"/>
              <c:numFmt formatCode="General" sourceLinked="1"/>
              <c:spPr>
                <a:noFill/>
                <a:ln w="9525">
                  <a:noFill/>
                </a:ln>
              </c:spPr>
              <c:txPr>
                <a:bodyPr anchor="ctr" anchorCtr="1" rot="0"/>
                <a:lstStyle/>
                <a:p>
                  <a:pPr>
                    <a:defRPr lang="en-us" sz="970" b="0" i="0" u="none" strike="noStrike" kern="100">
                      <a:solidFill>
                        <a:srgbClr val="000000"/>
                      </a:solidFill>
                      <a:latin typeface="Arial" charset="0"/>
                    </a:defRPr>
                  </a:pPr>
                </a:p>
              </c:txPr>
              <c:dLblPos val="outEnd"/>
              <c:showLegendKey val="0"/>
              <c:showVal val="1"/>
              <c:showCatName val="0"/>
              <c:showSerName val="0"/>
              <c:showPercent val="0"/>
              <c:showBubbleSize val="0"/>
            </c:dLbl>
            <c:dLbl>
              <c:idx val="6"/>
              <c:numFmt formatCode="General" sourceLinked="1"/>
              <c:spPr>
                <a:noFill/>
                <a:ln w="9525">
                  <a:noFill/>
                </a:ln>
              </c:spPr>
              <c:txPr>
                <a:bodyPr anchor="ctr" anchorCtr="1" rot="0"/>
                <a:lstStyle/>
                <a:p>
                  <a:pPr>
                    <a:defRPr lang="en-us" sz="970" b="0" i="0" u="none" strike="noStrike" kern="100">
                      <a:solidFill>
                        <a:srgbClr val="000000"/>
                      </a:solidFill>
                      <a:latin typeface="Arial" charset="0"/>
                    </a:defRPr>
                  </a:pPr>
                </a:p>
              </c:txPr>
              <c:dLblPos val="outEnd"/>
              <c:showLegendKey val="0"/>
              <c:showVal val="1"/>
              <c:showCatName val="0"/>
              <c:showSerName val="0"/>
              <c:showPercent val="0"/>
              <c:showBubbleSize val="0"/>
            </c:dLbl>
            <c:numFmt formatCode="General" sourceLinked="1"/>
            <c:spPr>
              <a:noFill/>
              <a:ln w="9525">
                <a:noFill/>
              </a:ln>
            </c:spPr>
            <c:txPr>
              <a:bodyPr anchor="ctr" anchorCtr="1" rot="0"/>
              <a:lstStyle/>
              <a:p>
                <a:pPr>
                  <a:defRPr lang="en-us" sz="970" b="0" i="0" u="none" strike="noStrike" kern="100">
                    <a:solidFill>
                      <a:srgbClr val="000000"/>
                    </a:solidFill>
                    <a:latin typeface="Arial" charset="0"/>
                  </a:defRPr>
                </a:pPr>
              </a:p>
            </c:txPr>
            <c:dLblPos val="outEnd"/>
            <c:showLegendKey val="0"/>
            <c:showVal val="1"/>
            <c:showCatName val="0"/>
            <c:showSerName val="0"/>
            <c:showPercent val="0"/>
            <c:showBubbleSize val="0"/>
            <c:showLeaderLines val="0"/>
          </c:dLbls>
          <c:cat>
            <c:strRef>
              <c:f>Analysis!$P$46:$P$55</c:f>
              <c:strCache>
                <c:ptCount val="10"/>
                <c:pt idx="0">
                  <c:v>SBI General</c:v>
                </c:pt>
                <c:pt idx="1">
                  <c:v>IndusInd</c:v>
                </c:pt>
                <c:pt idx="2">
                  <c:v>National</c:v>
                </c:pt>
                <c:pt idx="3">
                  <c:v>HDFC Ergo</c:v>
                </c:pt>
                <c:pt idx="4">
                  <c:v>United India</c:v>
                </c:pt>
                <c:pt idx="5">
                  <c:v>Bajaj</c:v>
                </c:pt>
                <c:pt idx="6">
                  <c:v>Oriental</c:v>
                </c:pt>
                <c:pt idx="7">
                  <c:v>Tata AIG</c:v>
                </c:pt>
                <c:pt idx="8">
                  <c:v>ICICI Lombard</c:v>
                </c:pt>
                <c:pt idx="9">
                  <c:v>New India</c:v>
                </c:pt>
              </c:strCache>
            </c:strRef>
          </c:cat>
          <c:val>
            <c:numRef>
              <c:f>Analysis!$Q$46:$Q$55</c:f>
              <c:numCache>
                <c:formatCode>General</c:formatCode>
                <c:ptCount val="10"/>
                <c:pt idx="0">
                  <c:v>1299.53</c:v>
                </c:pt>
                <c:pt idx="1">
                  <c:v>1563.91</c:v>
                </c:pt>
                <c:pt idx="2">
                  <c:v>1605.18</c:v>
                </c:pt>
                <c:pt idx="3">
                  <c:v>1743.28</c:v>
                </c:pt>
                <c:pt idx="4">
                  <c:v>2117.24</c:v>
                </c:pt>
                <c:pt idx="5">
                  <c:v>2665.55</c:v>
                </c:pt>
                <c:pt idx="6">
                  <c:v>2670.24</c:v>
                </c:pt>
                <c:pt idx="7">
                  <c:v>2845.41</c:v>
                </c:pt>
                <c:pt idx="8">
                  <c:v>3654</c:v>
                </c:pt>
                <c:pt idx="9">
                  <c:v>6084.98</c:v>
                </c:pt>
              </c:numCache>
            </c:numRef>
          </c:val>
          <c:extLst>
            <c:ext xmlns:sm="sm" uri="sm">
              <sm:meanLine>
                <c:spPr>
                  <a:ln w="9525">
                    <a:noFill/>
                  </a:ln>
                </c:spPr>
              </sm:meanLine>
              <sm:minMaxLine>
                <c:spPr>
                  <a:ln w="9525">
                    <a:noFill/>
                  </a:ln>
                </c:spPr>
              </sm:minMaxLine>
              <sm:stDevLine>
                <c:spPr>
                  <a:ln w="9525">
                    <a:noFill/>
                  </a:ln>
                </c:spPr>
              </sm:stDevLine>
              <sm:trendLine>
                <c:spPr>
                  <a:ln w="9525">
                    <a:noFill/>
                  </a:ln>
                </c:spPr>
              </sm:trendLine>
            </c:ext>
          </c:extLst>
        </c:ser>
        <c:dLbls>
          <c:showLegendKey val="0"/>
          <c:showVal val="0"/>
          <c:showCatName val="0"/>
          <c:showSerName val="0"/>
          <c:showPercent val="0"/>
          <c:showBubbleSize val="0"/>
          <c:showLeaderLines val="0"/>
        </c:dLbls>
        <c:gapWidth val="100"/>
        <c:axId val="10"/>
        <c:axId val="11"/>
      </c:barChart>
      <c:catAx>
        <c:axId val="10"/>
        <c:scaling>
          <c:orientation val="minMax"/>
        </c:scaling>
        <c:delete val="0"/>
        <c:axPos val="b"/>
        <c:title>
          <c:tx>
            <c:rich>
              <a:bodyPr anchor="ctr" anchorCtr="1" rot="0"/>
              <a:lstStyle/>
              <a:p>
                <a:pPr>
                  <a:defRPr lang="en-us" sz="970" b="1" i="0" u="none" strike="noStrike" kern="100">
                    <a:solidFill>
                      <a:srgbClr val="000000"/>
                    </a:solidFill>
                    <a:latin typeface="Arial" charset="0"/>
                  </a:defRPr>
                </a:pPr>
                <a:r>
                  <a:t>Premium (₹ Crore)</a:t>
                </a:r>
              </a:p>
            </c:rich>
          </c:tx>
          <c:layout>
            <c:manualLayout>
              <c:xMode val="edge"/>
              <c:yMode val="edge"/>
              <c:wMode val="factor"/>
              <c:hMode val="factor"/>
              <c:x val="0.435000"/>
              <c:y val="0.937500"/>
              <c:w val="0.143250"/>
              <c:h val="0.056750"/>
            </c:manualLayout>
          </c:layout>
          <c:spPr>
            <a:noFill/>
            <a:ln w="9525">
              <a:noFill/>
            </a:ln>
          </c:spPr>
        </c:title>
        <c:numFmt formatCode="General" sourceLinked="1"/>
        <c:majorTickMark val="none"/>
        <c:minorTickMark val="in"/>
        <c:tickLblPos val="nextTo"/>
        <c:txPr>
          <a:bodyPr anchor="ctr" anchorCtr="1" rot="0"/>
          <a:lstStyle/>
          <a:p>
            <a:pPr>
              <a:defRPr lang="en-us" sz="1065" b="0" i="0" u="none" strike="noStrike" kern="100">
                <a:solidFill>
                  <a:srgbClr val="000000"/>
                </a:solidFill>
                <a:latin typeface="Arial" charset="0"/>
              </a:defRPr>
            </a:pPr>
          </a:p>
        </c:txPr>
        <c:crossAx val="11"/>
        <c:crosses val="autoZero"/>
        <c:auto val="1"/>
      </c:catAx>
      <c:valAx>
        <c:axId val="11"/>
        <c:scaling>
          <c:orientation val="minMax"/>
          <c:min val="0.000000"/>
        </c:scaling>
        <c:delete val="0"/>
        <c:axPos val="l"/>
        <c:majorGridlines>
          <c:spPr>
            <a:ln w="9525">
              <a:noFill/>
            </a:ln>
          </c:spPr>
        </c:majorGridlines>
        <c:numFmt formatCode="General" sourceLinked="1"/>
        <c:majorTickMark val="out"/>
        <c:minorTickMark val="none"/>
        <c:tickLblPos val="nextTo"/>
        <c:txPr>
          <a:bodyPr anchor="ctr" anchorCtr="1" rot="0"/>
          <a:lstStyle/>
          <a:p>
            <a:pPr>
              <a:defRPr lang="en-us" sz="870" b="0" i="0" u="none" strike="noStrike" kern="100">
                <a:solidFill>
                  <a:srgbClr val="4D4D4D"/>
                </a:solidFill>
                <a:latin typeface="Arial" charset="0"/>
              </a:defRPr>
            </a:pPr>
          </a:p>
        </c:txPr>
        <c:crossAx val="10"/>
        <c:crosses val="autoZero"/>
        <c:crossBetween val="between"/>
        <c:majorUnit val="1000.000000"/>
      </c:valAx>
    </c:plotArea>
    <c:plotVisOnly val="1"/>
    <c:dispBlanksAs val="gap"/>
  </c:chart>
  <c:spPr>
    <a:solidFill>
      <a:srgbClr val="FFFFFF"/>
    </a:solidFill>
    <a:ln w="9525">
      <a:solidFill>
        <a:srgbClr val="0000FF"/>
      </a:solidFill>
    </a:ln>
  </c:spPr>
  <c:txPr>
    <a:bodyPr anchor="ctr" anchorCtr="1" rot="0"/>
    <a:lstStyle/>
    <a:p>
      <a:pPr>
        <a:defRPr lang="en-us" sz="1935" b="0" i="0" u="none" strike="noStrike" kern="100">
          <a:solidFill>
            <a:srgbClr val="000000"/>
          </a:solidFill>
          <a:latin typeface="Arial" charset="0"/>
        </a:defRPr>
      </a:pPr>
    </a:p>
  </c:txPr>
  <c:extLst>
    <c:ext xmlns:sm="sm" uri="sm">
      <sm:colorScheme xmlns:sm="sm" id="1780841053" val="8"/>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roundedCorners val="0"/>
  <c:style val="2"/>
  <c:chart>
    <c:title>
      <c:tx>
        <c:rich>
          <a:bodyPr anchor="ctr" anchorCtr="1" rot="0"/>
          <a:lstStyle/>
          <a:p>
            <a:pPr>
              <a:defRPr lang="en-us" sz="1225" b="1" i="0" u="none" strike="noStrike" kern="100">
                <a:solidFill>
                  <a:srgbClr val="00007F"/>
                </a:solidFill>
                <a:latin typeface="Arial" charset="0"/>
              </a:defRPr>
            </a:pPr>
            <a:r>
              <a:t>Segment Premium: April-25 vs April-26</a:t>
            </a:r>
          </a:p>
        </c:rich>
      </c:tx>
      <c:layout>
        <c:manualLayout>
          <c:xMode val="edge"/>
          <c:yMode val="edge"/>
          <c:wMode val="factor"/>
          <c:hMode val="factor"/>
          <c:x val="0.247500"/>
          <c:y val="0.000000"/>
          <c:w val="0.512250"/>
          <c:h val="0.083250"/>
        </c:manualLayout>
      </c:layout>
      <c:overlay val="0"/>
      <c:spPr>
        <a:noFill/>
        <a:ln w="9525">
          <a:noFill/>
        </a:ln>
      </c:spPr>
    </c:title>
    <c:plotArea>
      <c:layout>
        <c:manualLayout>
          <c:xMode val="edge"/>
          <c:yMode val="edge"/>
          <c:wMode val="factor"/>
          <c:hMode val="factor"/>
          <c:x val="0.155750"/>
          <c:y val="0.184250"/>
          <c:w val="0.659250"/>
          <c:h val="0.692500"/>
        </c:manualLayout>
      </c:layout>
      <c:barChart>
        <c:barDir val="col"/>
        <c:grouping val="standard"/>
        <c:ser>
          <c:idx val="0"/>
          <c:order val="0"/>
          <c:tx>
            <c:strRef>
              <c:f>Analysis!$B$8</c:f>
              <c:strCache>
                <c:ptCount val="1"/>
                <c:pt idx="0">
                  <c:v>46137</c:v>
                </c:pt>
              </c:strCache>
            </c:strRef>
          </c:tx>
          <c:spPr>
            <a:solidFill>
              <a:srgbClr val="00007F"/>
            </a:solidFill>
          </c:spPr>
          <c:dLbls>
            <c:numFmt formatCode="General" sourceLinked="1"/>
            <c:spPr>
              <a:noFill/>
              <a:ln w="9525">
                <a:noFill/>
              </a:ln>
            </c:spPr>
            <c:txPr>
              <a:bodyPr anchor="ctr" anchorCtr="1" rot="0"/>
              <a:lstStyle/>
              <a:p>
                <a:pPr>
                  <a:defRPr lang="en-us" sz="875" b="0" i="0" u="none" strike="noStrike" kern="100">
                    <a:solidFill>
                      <a:srgbClr val="000000"/>
                    </a:solidFill>
                    <a:latin typeface="Arial" charset="0"/>
                  </a:defRPr>
                </a:pPr>
              </a:p>
            </c:txPr>
            <c:dLblPos val="inEnd"/>
            <c:showLegendKey val="0"/>
            <c:showVal val="0"/>
            <c:showCatName val="0"/>
            <c:showSerName val="0"/>
            <c:showPercent val="0"/>
            <c:showBubbleSize val="0"/>
            <c:showLeaderLines val="0"/>
          </c:dLbls>
          <c:cat>
            <c:strRef>
              <c:f>Analysis!$A$9:$A$12</c:f>
              <c:strCache>
                <c:ptCount val="4"/>
                <c:pt idx="0">
                  <c:v>Fire</c:v>
                </c:pt>
                <c:pt idx="1">
                  <c:v>Health</c:v>
                </c:pt>
                <c:pt idx="2">
                  <c:v>Marine</c:v>
                </c:pt>
                <c:pt idx="3">
                  <c:v>Motor</c:v>
                </c:pt>
              </c:strCache>
            </c:strRef>
          </c:cat>
          <c:val>
            <c:numRef>
              <c:f>Analysis!$B$9:$B$12</c:f>
              <c:numCache>
                <c:formatCode>General</c:formatCode>
                <c:ptCount val="4"/>
                <c:pt idx="0">
                  <c:v>6512.37</c:v>
                </c:pt>
                <c:pt idx="1">
                  <c:v>13891.29</c:v>
                </c:pt>
                <c:pt idx="2">
                  <c:v>870.42</c:v>
                </c:pt>
                <c:pt idx="3">
                  <c:v>7869.11</c:v>
                </c:pt>
              </c:numCache>
            </c:numRef>
          </c:val>
          <c:extLst>
            <c:ext xmlns:sm="sm" uri="sm">
              <sm:meanLine>
                <c:spPr>
                  <a:ln w="9525">
                    <a:noFill/>
                  </a:ln>
                </c:spPr>
              </sm:meanLine>
              <sm:minMaxLine>
                <c:spPr>
                  <a:ln w="9525">
                    <a:noFill/>
                  </a:ln>
                </c:spPr>
              </sm:minMaxLine>
              <sm:stDevLine>
                <c:spPr>
                  <a:ln w="9525">
                    <a:noFill/>
                  </a:ln>
                </c:spPr>
              </sm:stDevLine>
              <sm:trendLine>
                <c:spPr>
                  <a:ln w="9525">
                    <a:noFill/>
                  </a:ln>
                </c:spPr>
              </sm:trendLine>
            </c:ext>
          </c:extLst>
        </c:ser>
        <c:ser>
          <c:idx val="1"/>
          <c:order val="1"/>
          <c:tx>
            <c:strRef>
              <c:f>Analysis!$D$8</c:f>
              <c:strCache>
                <c:ptCount val="1"/>
                <c:pt idx="0">
                  <c:v>46138</c:v>
                </c:pt>
              </c:strCache>
            </c:strRef>
          </c:tx>
          <c:spPr>
            <a:solidFill>
              <a:srgbClr val="7F0000"/>
            </a:solidFill>
          </c:spPr>
          <c:dLbls>
            <c:numFmt formatCode="General" sourceLinked="1"/>
            <c:spPr>
              <a:noFill/>
              <a:ln w="9525">
                <a:noFill/>
              </a:ln>
            </c:spPr>
            <c:txPr>
              <a:bodyPr anchor="ctr" anchorCtr="1" rot="0"/>
              <a:lstStyle/>
              <a:p>
                <a:pPr>
                  <a:defRPr lang="en-us" sz="875" b="0" i="0" u="none" strike="noStrike" kern="100">
                    <a:solidFill>
                      <a:srgbClr val="000000"/>
                    </a:solidFill>
                    <a:latin typeface="Arial" charset="0"/>
                  </a:defRPr>
                </a:pPr>
              </a:p>
            </c:txPr>
            <c:dLblPos val="outEnd"/>
            <c:showLegendKey val="0"/>
            <c:showVal val="0"/>
            <c:showCatName val="0"/>
            <c:showSerName val="0"/>
            <c:showPercent val="0"/>
            <c:showBubbleSize val="0"/>
            <c:showLeaderLines val="0"/>
          </c:dLbls>
          <c:cat>
            <c:strRef>
              <c:f>Analysis!$A$9:$A$12</c:f>
              <c:strCache>
                <c:ptCount val="4"/>
                <c:pt idx="0">
                  <c:v>Fire</c:v>
                </c:pt>
                <c:pt idx="1">
                  <c:v>Health</c:v>
                </c:pt>
                <c:pt idx="2">
                  <c:v>Marine</c:v>
                </c:pt>
                <c:pt idx="3">
                  <c:v>Motor</c:v>
                </c:pt>
              </c:strCache>
            </c:strRef>
          </c:cat>
          <c:val>
            <c:numRef>
              <c:f>Analysis!$D$9:$D$12</c:f>
              <c:numCache>
                <c:formatCode>General</c:formatCode>
                <c:ptCount val="4"/>
                <c:pt idx="0">
                  <c:v>4498.44</c:v>
                </c:pt>
                <c:pt idx="1">
                  <c:v>16893.33</c:v>
                </c:pt>
                <c:pt idx="2">
                  <c:v>1163.17</c:v>
                </c:pt>
                <c:pt idx="3">
                  <c:v>9099.23</c:v>
                </c:pt>
              </c:numCache>
            </c:numRef>
          </c:val>
          <c:extLst>
            <c:ext xmlns:sm="sm" uri="sm">
              <sm:meanLine>
                <c:spPr>
                  <a:ln w="9525">
                    <a:noFill/>
                  </a:ln>
                </c:spPr>
              </sm:meanLine>
              <sm:minMaxLine>
                <c:spPr>
                  <a:ln w="9525">
                    <a:noFill/>
                  </a:ln>
                </c:spPr>
              </sm:minMaxLine>
              <sm:stDevLine>
                <c:spPr>
                  <a:ln w="9525">
                    <a:noFill/>
                  </a:ln>
                </c:spPr>
              </sm:stDevLine>
              <sm:trendLine>
                <c:spPr>
                  <a:ln w="9525">
                    <a:noFill/>
                  </a:ln>
                </c:spPr>
              </sm:trendLine>
            </c:ext>
          </c:extLst>
        </c:ser>
        <c:dLbls>
          <c:showLegendKey val="0"/>
          <c:showVal val="0"/>
          <c:showCatName val="0"/>
          <c:showSerName val="0"/>
          <c:showPercent val="0"/>
          <c:showBubbleSize val="0"/>
          <c:showLeaderLines val="0"/>
        </c:dLbls>
        <c:gapWidth val="100"/>
        <c:axId val="10"/>
        <c:axId val="11"/>
      </c:barChart>
      <c:catAx>
        <c:axId val="10"/>
        <c:scaling>
          <c:orientation val="minMax"/>
        </c:scaling>
        <c:delete val="0"/>
        <c:axPos val="b"/>
        <c:numFmt formatCode="General" sourceLinked="1"/>
        <c:majorTickMark val="none"/>
        <c:minorTickMark val="none"/>
        <c:tickLblPos val="nextTo"/>
        <c:txPr>
          <a:bodyPr anchor="ctr" anchorCtr="1" rot="0"/>
          <a:lstStyle/>
          <a:p>
            <a:pPr>
              <a:defRPr lang="en-us" sz="1095" b="1" i="0" u="none" strike="noStrike" kern="100">
                <a:solidFill>
                  <a:srgbClr val="000000"/>
                </a:solidFill>
                <a:latin typeface="Arial" charset="0"/>
              </a:defRPr>
            </a:pPr>
          </a:p>
        </c:txPr>
        <c:crossAx val="11"/>
        <c:crosses val="autoZero"/>
        <c:auto val="1"/>
      </c:catAx>
      <c:valAx>
        <c:axId val="11"/>
        <c:scaling>
          <c:orientation val="minMax"/>
        </c:scaling>
        <c:delete val="0"/>
        <c:axPos val="l"/>
        <c:majorGridlines>
          <c:spPr>
            <a:ln w="9525">
              <a:noFill/>
            </a:ln>
          </c:spPr>
        </c:majorGridlines>
        <c:title>
          <c:tx>
            <c:rich>
              <a:bodyPr anchor="ctr" anchorCtr="1" rot="-5400000"/>
              <a:lstStyle/>
              <a:p>
                <a:pPr>
                  <a:defRPr lang="en-us" sz="970" b="1" i="0" u="none" strike="noStrike" kern="100">
                    <a:solidFill>
                      <a:srgbClr val="000000"/>
                    </a:solidFill>
                    <a:latin typeface="Arial" charset="0"/>
                  </a:defRPr>
                </a:pPr>
                <a:r>
                  <a:t>Premium (₹ Crore)</a:t>
                </a:r>
              </a:p>
            </c:rich>
          </c:tx>
          <c:layout>
            <c:manualLayout>
              <c:xMode val="edge"/>
              <c:yMode val="edge"/>
              <c:wMode val="factor"/>
              <c:hMode val="factor"/>
              <c:x val="0.030750"/>
              <c:y val="0.302500"/>
              <c:w val="0.050000"/>
              <c:h val="0.348250"/>
            </c:manualLayout>
          </c:layout>
          <c:spPr>
            <a:noFill/>
            <a:ln w="9525">
              <a:noFill/>
            </a:ln>
          </c:spPr>
        </c:title>
        <c:numFmt formatCode="0%" sourceLinked="1"/>
        <c:majorTickMark val="out"/>
        <c:minorTickMark val="none"/>
        <c:tickLblPos val="nextTo"/>
        <c:txPr>
          <a:bodyPr anchor="ctr" anchorCtr="1" rot="0"/>
          <a:lstStyle/>
          <a:p>
            <a:pPr>
              <a:defRPr lang="en-us" sz="970" b="0" i="0" u="none" strike="noStrike" kern="100">
                <a:solidFill>
                  <a:srgbClr val="000000"/>
                </a:solidFill>
                <a:latin typeface="Arial" charset="0"/>
              </a:defRPr>
            </a:pPr>
          </a:p>
        </c:txPr>
        <c:crossAx val="10"/>
        <c:crosses val="autoZero"/>
        <c:crossBetween val="between"/>
      </c:valAx>
    </c:plotArea>
    <c:legend>
      <c:legendPos val="r"/>
      <c:layout/>
      <c:overlay val="0"/>
      <c:spPr>
        <a:ln w="9525">
          <a:noFill/>
        </a:ln>
      </c:spPr>
      <c:txPr>
        <a:bodyPr anchor="ctr" anchorCtr="1" rot="0"/>
        <a:lstStyle/>
        <a:p>
          <a:pPr>
            <a:defRPr lang="en-us" sz="1550" b="0" i="0" u="none" strike="noStrike" kern="100">
              <a:solidFill>
                <a:srgbClr val="000000"/>
              </a:solidFill>
              <a:latin typeface="Arial" charset="0"/>
            </a:defRPr>
          </a:pPr>
        </a:p>
      </c:txPr>
    </c:legend>
    <c:plotVisOnly val="1"/>
    <c:dispBlanksAs val="gap"/>
  </c:chart>
  <c:spPr/>
  <c:txPr>
    <a:bodyPr anchor="ctr" anchorCtr="1" rot="0"/>
    <a:lstStyle/>
    <a:p>
      <a:pPr>
        <a:defRPr lang="en-us" sz="1550" b="0" i="0" u="none" strike="noStrike" kern="100">
          <a:solidFill>
            <a:srgbClr val="000000"/>
          </a:solidFill>
          <a:latin typeface="Arial" charset="0"/>
        </a:defRPr>
      </a:pPr>
    </a:p>
  </c:txPr>
  <c:extLst>
    <c:ext xmlns:sm="sm" uri="sm">
      <sm:colorScheme xmlns:sm="sm" id="1780841053" val="7"/>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roundedCorners val="0"/>
  <c:style val="2"/>
  <c:chart>
    <c:title>
      <c:tx>
        <c:rich>
          <a:bodyPr anchor="ctr" anchorCtr="1" rot="0"/>
          <a:lstStyle/>
          <a:p>
            <a:pPr>
              <a:defRPr lang="en-us" sz="1415" b="1" i="0" u="none" strike="noStrike" kern="100">
                <a:solidFill>
                  <a:srgbClr val="00007F"/>
                </a:solidFill>
                <a:latin typeface="Arial" charset="0"/>
              </a:defRPr>
            </a:pPr>
            <a:r>
              <a:t>Segment Growth %</a:t>
            </a:r>
          </a:p>
        </c:rich>
      </c:tx>
      <c:layout/>
      <c:overlay val="0"/>
      <c:spPr>
        <a:noFill/>
        <a:ln w="9525">
          <a:noFill/>
        </a:ln>
      </c:spPr>
    </c:title>
    <c:plotArea>
      <c:layout>
        <c:manualLayout>
          <c:xMode val="edge"/>
          <c:yMode val="edge"/>
          <c:wMode val="factor"/>
          <c:hMode val="factor"/>
          <c:x val="0.205500"/>
          <c:y val="0.140000"/>
          <c:w val="0.748000"/>
          <c:h val="0.812250"/>
        </c:manualLayout>
      </c:layout>
      <c:barChart>
        <c:barDir val="col"/>
        <c:grouping val="standard"/>
        <c:ser>
          <c:idx val="0"/>
          <c:order val="0"/>
          <c:tx>
            <c:strRef>
              <c:f>Analysis!$D$69</c:f>
              <c:strCache>
                <c:ptCount val="1"/>
                <c:pt idx="0">
                  <c:v>Growth %</c:v>
                </c:pt>
              </c:strCache>
            </c:strRef>
          </c:tx>
          <c:spPr>
            <a:solidFill>
              <a:srgbClr val="007F00"/>
            </a:solidFill>
          </c:spPr>
          <c:dPt>
            <c:idx val="0"/>
            <c:invertIfNegative val="0"/>
            <c:spPr>
              <a:solidFill>
                <a:srgbClr val="FF0000"/>
              </a:solidFill>
            </c:spPr>
          </c:dPt>
          <c:dLbls>
            <c:numFmt formatCode="General" sourceLinked="1"/>
            <c:spPr>
              <a:noFill/>
              <a:ln w="9525">
                <a:noFill/>
              </a:ln>
            </c:spPr>
            <c:txPr>
              <a:bodyPr anchor="ctr" anchorCtr="1" rot="0"/>
              <a:lstStyle/>
              <a:p>
                <a:pPr>
                  <a:defRPr lang="en-us" sz="1770" b="0" i="0" u="none" strike="noStrike" kern="100">
                    <a:solidFill>
                      <a:srgbClr val="000000"/>
                    </a:solidFill>
                    <a:latin typeface="Arial" charset="0"/>
                  </a:defRPr>
                </a:pPr>
              </a:p>
            </c:txPr>
            <c:dLblPos val="outEnd"/>
            <c:showLegendKey val="0"/>
            <c:showVal val="1"/>
            <c:showCatName val="0"/>
            <c:showSerName val="0"/>
            <c:showPercent val="0"/>
            <c:showBubbleSize val="0"/>
            <c:showLeaderLines val="0"/>
          </c:dLbls>
          <c:cat>
            <c:strRef>
              <c:f>Analysis!$A$70:$A$73</c:f>
              <c:strCache>
                <c:ptCount val="4"/>
                <c:pt idx="0">
                  <c:v>Fire</c:v>
                </c:pt>
                <c:pt idx="1">
                  <c:v>Health</c:v>
                </c:pt>
                <c:pt idx="2">
                  <c:v>Marine</c:v>
                </c:pt>
                <c:pt idx="3">
                  <c:v>Motor</c:v>
                </c:pt>
              </c:strCache>
            </c:strRef>
          </c:cat>
          <c:val>
            <c:numRef>
              <c:f>Analysis!$D$70:$D$73</c:f>
              <c:numCache>
                <c:formatCode>General</c:formatCode>
                <c:ptCount val="4"/>
                <c:pt idx="0">
                  <c:v>-0.3092</c:v>
                </c:pt>
                <c:pt idx="1">
                  <c:v>0.2161</c:v>
                </c:pt>
                <c:pt idx="2">
                  <c:v>0.3363</c:v>
                </c:pt>
                <c:pt idx="3">
                  <c:v>0.1563</c:v>
                </c:pt>
              </c:numCache>
            </c:numRef>
          </c:val>
          <c:extLst>
            <c:ext xmlns:sm="sm" uri="sm">
              <sm:meanLine>
                <c:spPr>
                  <a:ln w="9525">
                    <a:noFill/>
                  </a:ln>
                </c:spPr>
              </sm:meanLine>
              <sm:minMaxLine>
                <c:spPr>
                  <a:ln w="9525">
                    <a:noFill/>
                  </a:ln>
                </c:spPr>
              </sm:minMaxLine>
              <sm:stDevLine>
                <c:spPr>
                  <a:ln w="9525">
                    <a:noFill/>
                  </a:ln>
                </c:spPr>
              </sm:stDevLine>
              <sm:trendLine>
                <c:spPr>
                  <a:ln w="9525">
                    <a:noFill/>
                  </a:ln>
                </c:spPr>
              </sm:trendLine>
            </c:ext>
          </c:extLst>
        </c:ser>
        <c:dLbls>
          <c:showLegendKey val="0"/>
          <c:showVal val="0"/>
          <c:showCatName val="0"/>
          <c:showSerName val="0"/>
          <c:showPercent val="0"/>
          <c:showBubbleSize val="0"/>
          <c:showLeaderLines val="0"/>
        </c:dLbls>
        <c:gapWidth val="100"/>
        <c:axId val="10"/>
        <c:axId val="11"/>
      </c:barChart>
      <c:catAx>
        <c:axId val="10"/>
        <c:scaling>
          <c:orientation val="minMax"/>
        </c:scaling>
        <c:delete val="0"/>
        <c:axPos val="b"/>
        <c:numFmt formatCode="General" sourceLinked="1"/>
        <c:majorTickMark val="none"/>
        <c:minorTickMark val="none"/>
        <c:tickLblPos val="nextTo"/>
        <c:txPr>
          <a:bodyPr anchor="ctr" anchorCtr="1" rot="0"/>
          <a:lstStyle/>
          <a:p>
            <a:pPr>
              <a:defRPr lang="en-us" sz="1240" b="0" i="0" u="none" strike="noStrike" kern="100">
                <a:solidFill>
                  <a:srgbClr val="000000"/>
                </a:solidFill>
                <a:latin typeface="Arial" charset="0"/>
              </a:defRPr>
            </a:pPr>
          </a:p>
        </c:txPr>
        <c:crossAx val="11"/>
        <c:crosses val="autoZero"/>
        <c:auto val="1"/>
      </c:catAx>
      <c:valAx>
        <c:axId val="11"/>
        <c:scaling>
          <c:orientation val="minMax"/>
        </c:scaling>
        <c:delete val="0"/>
        <c:axPos val="l"/>
        <c:majorGridlines>
          <c:spPr>
            <a:ln w="9525">
              <a:noFill/>
            </a:ln>
          </c:spPr>
        </c:majorGridlines>
        <c:title>
          <c:tx>
            <c:rich>
              <a:bodyPr anchor="ctr" anchorCtr="1" rot="-5400000"/>
              <a:lstStyle/>
              <a:p>
                <a:pPr>
                  <a:defRPr lang="en-us" sz="1415" b="1" i="0" u="none" strike="noStrike" kern="100">
                    <a:solidFill>
                      <a:srgbClr val="000000"/>
                    </a:solidFill>
                    <a:latin typeface="Arial" charset="0"/>
                  </a:defRPr>
                </a:pPr>
                <a:r>
                  <a:t>Growth %</a:t>
                </a:r>
              </a:p>
            </c:rich>
          </c:tx>
          <c:layout>
            <c:manualLayout>
              <c:xMode val="edge"/>
              <c:yMode val="edge"/>
              <c:wMode val="factor"/>
              <c:hMode val="factor"/>
              <c:x val="0.003750"/>
              <c:y val="0.329750"/>
              <c:w val="0.057250"/>
              <c:h val="0.238250"/>
            </c:manualLayout>
          </c:layout>
          <c:spPr>
            <a:noFill/>
            <a:ln w="9525">
              <a:noFill/>
            </a:ln>
          </c:spPr>
        </c:title>
        <c:numFmt formatCode="General" sourceLinked="1"/>
        <c:majorTickMark val="in"/>
        <c:minorTickMark val="none"/>
        <c:tickLblPos val="nextTo"/>
        <c:txPr>
          <a:bodyPr anchor="ctr" anchorCtr="1" rot="0"/>
          <a:lstStyle/>
          <a:p>
            <a:pPr>
              <a:defRPr lang="en-us" sz="1240" b="0" i="0" u="none" strike="noStrike" kern="100">
                <a:solidFill>
                  <a:srgbClr val="000000"/>
                </a:solidFill>
                <a:latin typeface="Arial" charset="0"/>
              </a:defRPr>
            </a:pPr>
          </a:p>
        </c:txPr>
        <c:crossAx val="10"/>
        <c:crosses val="autoZero"/>
        <c:crossBetween val="between"/>
      </c:valAx>
    </c:plotArea>
    <c:plotVisOnly val="1"/>
    <c:dispBlanksAs val="gap"/>
  </c:chart>
  <c:spPr/>
  <c:txPr>
    <a:bodyPr anchor="ctr" anchorCtr="1" rot="0"/>
    <a:lstStyle/>
    <a:p>
      <a:pPr>
        <a:defRPr lang="en-us" sz="1640" b="0" i="0" u="none" strike="noStrike" kern="100">
          <a:solidFill>
            <a:srgbClr val="000000"/>
          </a:solidFill>
          <a:latin typeface="Arial" charset="0"/>
        </a:defRPr>
      </a:pPr>
    </a:p>
  </c:txPr>
  <c:extLst>
    <c:ext xmlns:sm="sm" uri="sm">
      <sm:colorScheme xmlns:sm="sm" id="1780841053" val="7"/>
    </c:ext>
  </c:extLst>
</c:chartSpace>
</file>

<file path=xl/drawings/_rels/drawing1.xml.rels><?xml version="1.0" encoding="UTF-8" standalone="yes" ?>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2.xml.rels><?xml version="1.0" encoding="UTF-8" standalone="yes" ?>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10795</xdr:colOff>
      <xdr:row>11</xdr:row>
      <xdr:rowOff>6350</xdr:rowOff>
    </xdr:from>
    <xdr:to>
      <xdr:col>7</xdr:col>
      <xdr:colOff>22860</xdr:colOff>
      <xdr:row>27</xdr:row>
      <xdr:rowOff>0</xdr:rowOff>
    </xdr:to>
    <xdr:graphicFrame macro="">
      <xdr:nvGraphicFramePr>
        <xdr:cNvPr id="4" name="Char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20955</xdr:colOff>
      <xdr:row>11</xdr:row>
      <xdr:rowOff>7620</xdr:rowOff>
    </xdr:from>
    <xdr:to>
      <xdr:col>13</xdr:col>
      <xdr:colOff>1052195</xdr:colOff>
      <xdr:row>27</xdr:row>
      <xdr:rowOff>0</xdr:rowOff>
    </xdr:to>
    <xdr:graphicFrame macro="">
      <xdr:nvGraphicFramePr>
        <xdr:cNvPr id="3" name="Chart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xdr:colOff>
      <xdr:row>27</xdr:row>
      <xdr:rowOff>221615</xdr:rowOff>
    </xdr:from>
    <xdr:to>
      <xdr:col>6</xdr:col>
      <xdr:colOff>1066800</xdr:colOff>
      <xdr:row>43</xdr:row>
      <xdr:rowOff>0</xdr:rowOff>
    </xdr:to>
    <xdr:graphicFrame macro="">
      <xdr:nvGraphicFramePr>
        <xdr:cNvPr id="2" name="Chart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11430</xdr:colOff>
      <xdr:row>39</xdr:row>
      <xdr:rowOff>165100</xdr:rowOff>
    </xdr:from>
    <xdr:to>
      <xdr:col>14</xdr:col>
      <xdr:colOff>1066165</xdr:colOff>
      <xdr:row>59</xdr:row>
      <xdr:rowOff>168275</xdr:rowOff>
    </xdr:to>
    <xdr:graphicFrame macro="">
      <xdr:nvGraphicFramePr>
        <xdr:cNvPr id="4" name="Char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603250</xdr:colOff>
      <xdr:row>6</xdr:row>
      <xdr:rowOff>5715</xdr:rowOff>
    </xdr:from>
    <xdr:to>
      <xdr:col>14</xdr:col>
      <xdr:colOff>7620</xdr:colOff>
      <xdr:row>21</xdr:row>
      <xdr:rowOff>495935</xdr:rowOff>
    </xdr:to>
    <xdr:graphicFrame macro="">
      <xdr:nvGraphicFramePr>
        <xdr:cNvPr id="3" name="Chart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xdr:colOff>
      <xdr:row>68</xdr:row>
      <xdr:rowOff>109220</xdr:rowOff>
    </xdr:from>
    <xdr:to>
      <xdr:col>14</xdr:col>
      <xdr:colOff>1054735</xdr:colOff>
      <xdr:row>82</xdr:row>
      <xdr:rowOff>144145</xdr:rowOff>
    </xdr:to>
    <xdr:graphicFrame macro="">
      <xdr:nvGraphicFramePr>
        <xdr:cNvPr id="2" name="Chart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340">
  <cacheSource type="worksheet">
    <worksheetSource ref="A1:E341" sheet="Cleaned_Auto"/>
  </cacheSource>
  <cacheFields count="5">
    <cacheField name="Insurer" numFmtId="0">
      <sharedItems count="34">
        <s v="Acko General Insurance Ltd"/>
        <s v="Aditya Birla Health Insurance Co Ltd"/>
        <s v="Agriculture Insurance Co Of India Ltd"/>
        <s v="Bajaj General Insurance Limited "/>
        <s v="Care Health Insurance Ltd"/>
        <s v="Cholamandalam MS General Insurance Co Ltd"/>
        <s v="ECGC Ltd"/>
        <s v="Galaxy Health Insurance Company Ltd"/>
        <s v="Generali Central Insurance Company Limited"/>
        <s v="Go Digit General Insurance Ltd"/>
        <s v="HDFC Ergo General Insurance Co Ltd"/>
        <s v="ICICI Lombard General Insurance Co Ltd"/>
        <s v="IFFCO-Tokio General Insurance Co Ltd"/>
        <s v="IndusInd General Insurance Company Limited"/>
        <s v="Kshema General insurance"/>
        <s v="Liberty  General Insurance Co. Ltd"/>
        <s v="Magma General Insurance Limited"/>
        <s v="ManipalCigna Health Insurance Co Ltd"/>
        <s v="Narayana Health Insurance Ltd"/>
        <s v="National Insurance Co Ltd"/>
        <s v="Navi General Insurance Co. Ltd"/>
        <s v="Niva bupa health insurance company limited"/>
        <s v="Raheja QBE General Insurance Co Ltd"/>
        <s v="Royal Sundaram General Insurance Co Ltd"/>
        <s v="SBI General Insurance Co Ltd"/>
        <s v="Shriram General Insurance Co Ltd"/>
        <s v="Star Health &amp; Allied Insurance Co Ltd"/>
        <s v="Tata AIG General Insurance Co Ltd"/>
        <s v="The New India Assurance Co Ltd"/>
        <s v="The Oriental Insurance Co Ltd"/>
        <s v="United India Insurance Co Ltd"/>
        <s v="Universal Sompo General Insurance Co Ltd"/>
        <s v="Zuno General Insurance Co Ltd"/>
        <s v="Zurich Kotak Mahindra General Insurance Co Ltd"/>
      </sharedItems>
    </cacheField>
    <cacheField name="Period" numFmtId="0">
      <sharedItems count="2">
        <s v="April-25"/>
        <s v="April-26"/>
      </sharedItems>
    </cacheField>
    <cacheField name="Segment" numFmtId="0">
      <sharedItems count="5">
        <s v="Fire"/>
        <s v="Grand_Total"/>
        <s v="Health"/>
        <s v="Marine_Total"/>
        <s v="Motor_Total"/>
      </sharedItems>
    </cacheField>
    <cacheField name="Premium_Amount" numFmtId="0">
      <sharedItems containsSemiMixedTypes="0" containsString="0" containsNumber="1" count="266">
        <n v="-0.09"/>
        <n v="-0.05"/>
        <n v="-0.04"/>
        <n v="0"/>
        <n v="0.01"/>
        <n v="0.1"/>
        <n v="0.110000000000000009"/>
        <n v="0.29"/>
        <n v="0.320000000000000018"/>
        <n v="0.330000000000000027"/>
        <n v="0.4"/>
        <n v="0.540000000000000036"/>
        <n v="0.729999999999999982"/>
        <n v="1.17999999999999994"/>
        <n v="2.16000000000000014"/>
        <n v="2.24000000000000021"/>
        <n v="2.99000000000000021"/>
        <n v="3.06000000000000005"/>
        <n v="3.12999999999999989"/>
        <n v="3.24000000000000021"/>
        <n v="3.37999999999999989"/>
        <n v="3.58000000000000007"/>
        <n v="3.83000000000000007"/>
        <n v="4.42999999999999972"/>
        <n v="5.26999999999999957"/>
        <n v="5.78000000000000025"/>
        <n v="6"/>
        <n v="6.75999999999999979"/>
        <n v="6.88999999999999968"/>
        <n v="7.01999999999999957"/>
        <n v="9.59999999999999964"/>
        <n v="10.2599999999999998"/>
        <n v="10.8000000000000007"/>
        <n v="12.2699999999999996"/>
        <n v="12.6500000000000004"/>
        <n v="12.9700000000000006"/>
        <n v="13.0899999999999999"/>
        <n v="13.3300000000000001"/>
        <n v="13.4900000000000002"/>
        <n v="13.8300000000000001"/>
        <n v="13.9000000000000004"/>
        <n v="14.6699999999999999"/>
        <n v="14.7899999999999991"/>
        <n v="15.4700000000000006"/>
        <n v="16.370000000000001"/>
        <n v="16.4800000000000004"/>
        <n v="17.3900000000000006"/>
        <n v="17.9100000000000001"/>
        <n v="18.1999999999999993"/>
        <n v="18.620000000000001"/>
        <n v="19.1099999999999994"/>
        <n v="20.3099999999999987"/>
        <n v="21.8399999999999999"/>
        <n v="21.9100000000000001"/>
        <n v="22.5899999999999999"/>
        <n v="22.6900000000000013"/>
        <n v="24.8500000000000014"/>
        <n v="26.1799999999999997"/>
        <n v="27.3000000000000007"/>
        <n v="30.75"/>
        <n v="33.25"/>
        <n v="35.1099999999999994"/>
        <n v="35.1300000000000026"/>
        <n v="35.3599999999999994"/>
        <n v="39.3400000000000034"/>
        <n v="40.6899999999999977"/>
        <n v="42.0700000000000003"/>
        <n v="42.2800000000000011"/>
        <n v="43.0399999999999991"/>
        <n v="43.259999999999998"/>
        <n v="46.0399999999999991"/>
        <n v="49.6700000000000017"/>
        <n v="53.0399999999999991"/>
        <n v="63.3999999999999986"/>
        <n v="64.8299999999999983"/>
        <n v="65.019999999999996"/>
        <n v="66.3199999999999932"/>
        <n v="68.230000000000004"/>
        <n v="72.9599999999999937"/>
        <n v="73.7800000000000011"/>
        <n v="73.8299999999999983"/>
        <n v="74.6899999999999977"/>
        <n v="76.8599999999999994"/>
        <n v="79.480000000000004"/>
        <n v="79.7399999999999949"/>
        <n v="82.0999999999999943"/>
        <n v="82.8900000000000006"/>
        <n v="85.7600000000000051"/>
        <n v="86.0799999999999983"/>
        <n v="87.6599999999999966"/>
        <n v="89.9899999999999949"/>
        <n v="90.7800000000000011"/>
        <n v="90.7999999999999972"/>
        <n v="93.25"/>
        <n v="98.4300000000000068"/>
        <n v="98.8299999999999983"/>
        <n v="106.469999999999999"/>
        <n v="109.469999999999999"/>
        <n v="111.469999999999999"/>
        <n v="113.109999999999999"/>
        <n v="118.170000000000002"/>
        <n v="120.090000000000003"/>
        <n v="122.640000000000001"/>
        <n v="123.310000000000002"/>
        <n v="127.480000000000004"/>
        <n v="130.800000000000011"/>
        <n v="134.840000000000003"/>
        <n v="137.629999999999995"/>
        <n v="141.77000000000001"/>
        <n v="145.580000000000013"/>
        <n v="146.400000000000006"/>
        <n v="151.800000000000011"/>
        <n v="154.280000000000001"/>
        <n v="157.5"/>
        <n v="158.560000000000002"/>
        <n v="166.889999999999986"/>
        <n v="168.430000000000007"/>
        <n v="172.419999999999987"/>
        <n v="174.379999999999995"/>
        <n v="174.439999999999998"/>
        <n v="176.409999999999997"/>
        <n v="176.909999999999997"/>
        <n v="177.430000000000007"/>
        <n v="178.800000000000011"/>
        <n v="180.610000000000014"/>
        <n v="180.800000000000011"/>
        <n v="180.849999999999994"/>
        <n v="183.780000000000001"/>
        <n v="184.75"/>
        <n v="185.319999999999993"/>
        <n v="193.080000000000013"/>
        <n v="195.050000000000011"/>
        <n v="203.949999999999989"/>
        <n v="204.300000000000011"/>
        <n v="206.949999999999989"/>
        <n v="210.879999999999995"/>
        <n v="213.490000000000009"/>
        <n v="216.060000000000002"/>
        <n v="221.409999999999997"/>
        <n v="227.870000000000005"/>
        <n v="233.659999999999997"/>
        <n v="241.139999999999986"/>
        <n v="253.439999999999998"/>
        <n v="257.850000000000023"/>
        <n v="258.620000000000005"/>
        <n v="263.490000000000009"/>
        <n v="263.95999999999998"/>
        <n v="274.139999999999986"/>
        <n v="279.980000000000018"/>
        <n v="284.939999999999998"/>
        <n v="286.54000000000002"/>
        <n v="287.129999999999995"/>
        <n v="290.389999999999986"/>
        <n v="306.480000000000018"/>
        <n v="310.860000000000014"/>
        <n v="313.399999999999977"/>
        <n v="316.120000000000005"/>
        <n v="320.300000000000011"/>
        <n v="320.759999999999991"/>
        <n v="321.810000000000002"/>
        <n v="325.139999999999986"/>
        <n v="332.04000000000002"/>
        <n v="337.139999999999986"/>
        <n v="339.939999999999998"/>
        <n v="361.54000000000002"/>
        <n v="376.899999999999977"/>
        <n v="380.050000000000011"/>
        <n v="381.649999999999977"/>
        <n v="387.740000000000009"/>
        <n v="391.600000000000023"/>
        <n v="397.509999999999991"/>
        <n v="404.490000000000009"/>
        <n v="414"/>
        <n v="418"/>
        <n v="422.769999999999982"/>
        <n v="430.129999999999995"/>
        <n v="434.100000000000023"/>
        <n v="435.319999999999993"/>
        <n v="438.370000000000005"/>
        <n v="444.170000000000016"/>
        <n v="444.949999999999989"/>
        <n v="451.490000000000009"/>
        <n v="472.829999999999984"/>
        <n v="475.509999999999991"/>
        <n v="480.600000000000023"/>
        <n v="483.069999999999993"/>
        <n v="496.639999999999986"/>
        <n v="512.129999999999995"/>
        <n v="515.230000000000018"/>
        <n v="517.309999999999945"/>
        <n v="520.279999999999973"/>
        <n v="524.919999999999959"/>
        <n v="537.830000000000041"/>
        <n v="546.710000000000036"/>
        <n v="561.710000000000036"/>
        <n v="576.480000000000018"/>
        <n v="578.539999999999964"/>
        <n v="612.100000000000023"/>
        <n v="615.230000000000018"/>
        <n v="620.450000000000045"/>
        <n v="620.580000000000041"/>
        <n v="629.259999999999991"/>
        <n v="636.82000000000005"/>
        <n v="641.049999999999955"/>
        <n v="645.909999999999968"/>
        <n v="661.669999999999959"/>
        <n v="685.299999999999955"/>
        <n v="695.549999999999955"/>
        <n v="708.580000000000041"/>
        <n v="710.600000000000023"/>
        <n v="723.779999999999973"/>
        <n v="726.190000000000055"/>
        <n v="731.980000000000018"/>
        <n v="745.379999999999995"/>
        <n v="772.759999999999991"/>
        <n v="777.149999999999977"/>
        <n v="778.110000000000014"/>
        <n v="778.639999999999986"/>
        <n v="779.600000000000023"/>
        <n v="783.529999999999973"/>
        <n v="827.82000000000005"/>
        <n v="837.940000000000055"/>
        <n v="845.990000000000009"/>
        <n v="873.330000000000041"/>
        <n v="876.75"/>
        <n v="928.009999999999991"/>
        <n v="935.690000000000055"/>
        <n v="942.860000000000014"/>
        <n v="953.700000000000045"/>
        <n v="954.110000000000014"/>
        <n v="957.279999999999973"/>
        <n v="967.549999999999955"/>
        <n v="986.509999999999991"/>
        <n v="988.610000000000014"/>
        <n v="1000.64999999999998"/>
        <n v="1008.77999999999997"/>
        <n v="1020.35000000000002"/>
        <n v="1050.54999999999995"/>
        <n v="1058.45000000000005"/>
        <n v="1060.16000000000008"/>
        <n v="1179.07999999999993"/>
        <n v="1255.65000000000009"/>
        <n v="1264.53999999999996"/>
        <n v="1290.54999999999995"/>
        <n v="1299.52999999999997"/>
        <n v="1463.07999999999993"/>
        <n v="1479.25999999999999"/>
        <n v="1528.72000000000003"/>
        <n v="1563.91000000000008"/>
        <n v="1605.18000000000006"/>
        <n v="1619.92000000000007"/>
        <n v="1743.27999999999997"/>
        <n v="2060.38000000000011"/>
        <n v="2093.11000000000013"/>
        <n v="2117.23999999999978"/>
        <n v="2402.82000000000016"/>
        <n v="2629.90000000000009"/>
        <n v="2665.55000000000018"/>
        <n v="2670.23999999999978"/>
        <n v="2845.40999999999985"/>
        <n v="3411.69999999999982"/>
        <n v="3592.2199999999998"/>
        <n v="3605.88000000000011"/>
        <n v="3654"/>
        <n v="6026.61999999999989"/>
        <n v="6084.97999999999956"/>
      </sharedItems>
    </cacheField>
    <cacheField name="Source" numFmtId="0">
      <sharedItems count="1">
        <s v="GI Council"/>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4" refreshedVersion="4" minRefreshableVersion="3" recordCount="340">
  <cacheSource type="worksheet">
    <worksheetSource ref="A1:E341" sheet="Cleaned_Auto"/>
  </cacheSource>
  <cacheFields count="5">
    <cacheField name="Insurer" numFmtId="0">
      <sharedItems count="34">
        <s v="Acko General Insurance Ltd"/>
        <s v="Aditya Birla Health Insurance Co Ltd"/>
        <s v="Agriculture Insurance Co Of India Ltd"/>
        <s v="Bajaj General Insurance Limited "/>
        <s v="Care Health Insurance Ltd"/>
        <s v="Cholamandalam MS General Insurance Co Ltd"/>
        <s v="ECGC Ltd"/>
        <s v="Galaxy Health Insurance Company Ltd"/>
        <s v="Generali Central Insurance Company Limited"/>
        <s v="Go Digit General Insurance Ltd"/>
        <s v="HDFC Ergo General Insurance Co Ltd"/>
        <s v="ICICI Lombard General Insurance Co Ltd"/>
        <s v="IFFCO-Tokio General Insurance Co Ltd"/>
        <s v="IndusInd General Insurance Company Limited"/>
        <s v="Kshema General insurance"/>
        <s v="Liberty  General Insurance Co. Ltd"/>
        <s v="Magma General Insurance Limited"/>
        <s v="ManipalCigna Health Insurance Co Ltd"/>
        <s v="Narayana Health Insurance Ltd"/>
        <s v="National Insurance Co Ltd"/>
        <s v="Navi General Insurance Co. Ltd"/>
        <s v="Niva bupa health insurance company limited"/>
        <s v="Raheja QBE General Insurance Co Ltd"/>
        <s v="Royal Sundaram General Insurance Co Ltd"/>
        <s v="SBI General Insurance Co Ltd"/>
        <s v="Shriram General Insurance Co Ltd"/>
        <s v="Star Health &amp; Allied Insurance Co Ltd"/>
        <s v="Tata AIG General Insurance Co Ltd"/>
        <s v="The New India Assurance Co Ltd"/>
        <s v="The Oriental Insurance Co Ltd"/>
        <s v="United India Insurance Co Ltd"/>
        <s v="Universal Sompo General Insurance Co Ltd"/>
        <s v="Zuno General Insurance Co Ltd"/>
        <s v="Zurich Kotak Mahindra General Insurance Co Ltd"/>
      </sharedItems>
    </cacheField>
    <cacheField name="Period" numFmtId="0">
      <sharedItems count="2">
        <s v="April-25"/>
        <s v="April-26"/>
      </sharedItems>
    </cacheField>
    <cacheField name="Segment" numFmtId="0">
      <sharedItems count="5">
        <s v="Fire"/>
        <s v="Grand_Total"/>
        <s v="Health"/>
        <s v="Marine_Total"/>
        <s v="Motor_Total"/>
      </sharedItems>
    </cacheField>
    <cacheField name="Premium_Amount" numFmtId="0">
      <sharedItems containsSemiMixedTypes="0" containsString="0" containsNumber="1" count="266">
        <n v="-0.09"/>
        <n v="-0.05"/>
        <n v="-0.04"/>
        <n v="0"/>
        <n v="0.01"/>
        <n v="0.1"/>
        <n v="0.110000000000000009"/>
        <n v="0.29"/>
        <n v="0.320000000000000018"/>
        <n v="0.330000000000000027"/>
        <n v="0.4"/>
        <n v="0.540000000000000036"/>
        <n v="0.729999999999999982"/>
        <n v="1.17999999999999994"/>
        <n v="2.16000000000000014"/>
        <n v="2.24000000000000021"/>
        <n v="2.99000000000000021"/>
        <n v="3.06000000000000005"/>
        <n v="3.12999999999999989"/>
        <n v="3.24000000000000021"/>
        <n v="3.37999999999999989"/>
        <n v="3.58000000000000007"/>
        <n v="3.83000000000000007"/>
        <n v="4.42999999999999972"/>
        <n v="5.26999999999999957"/>
        <n v="5.78000000000000025"/>
        <n v="6"/>
        <n v="6.75999999999999979"/>
        <n v="6.88999999999999968"/>
        <n v="7.01999999999999957"/>
        <n v="9.59999999999999964"/>
        <n v="10.2599999999999998"/>
        <n v="10.8000000000000007"/>
        <n v="12.2699999999999996"/>
        <n v="12.6500000000000004"/>
        <n v="12.9700000000000006"/>
        <n v="13.0899999999999999"/>
        <n v="13.3300000000000001"/>
        <n v="13.4900000000000002"/>
        <n v="13.8300000000000001"/>
        <n v="13.9000000000000004"/>
        <n v="14.6699999999999999"/>
        <n v="14.7899999999999991"/>
        <n v="15.4700000000000006"/>
        <n v="16.370000000000001"/>
        <n v="16.4800000000000004"/>
        <n v="17.3900000000000006"/>
        <n v="17.9100000000000001"/>
        <n v="18.1999999999999993"/>
        <n v="18.620000000000001"/>
        <n v="19.1099999999999994"/>
        <n v="20.3099999999999987"/>
        <n v="21.8399999999999999"/>
        <n v="21.9100000000000001"/>
        <n v="22.5899999999999999"/>
        <n v="22.6900000000000013"/>
        <n v="24.8500000000000014"/>
        <n v="26.1799999999999997"/>
        <n v="27.3000000000000007"/>
        <n v="30.75"/>
        <n v="33.25"/>
        <n v="35.1099999999999994"/>
        <n v="35.1300000000000026"/>
        <n v="35.3599999999999994"/>
        <n v="39.3400000000000034"/>
        <n v="40.6899999999999977"/>
        <n v="42.0700000000000003"/>
        <n v="42.2800000000000011"/>
        <n v="43.0399999999999991"/>
        <n v="43.259999999999998"/>
        <n v="46.0399999999999991"/>
        <n v="49.6700000000000017"/>
        <n v="53.0399999999999991"/>
        <n v="63.3999999999999986"/>
        <n v="64.8299999999999983"/>
        <n v="65.019999999999996"/>
        <n v="66.3199999999999932"/>
        <n v="68.230000000000004"/>
        <n v="72.9599999999999937"/>
        <n v="73.7800000000000011"/>
        <n v="73.8299999999999983"/>
        <n v="74.6899999999999977"/>
        <n v="76.8599999999999994"/>
        <n v="79.480000000000004"/>
        <n v="79.7399999999999949"/>
        <n v="82.0999999999999943"/>
        <n v="82.8900000000000006"/>
        <n v="85.7600000000000051"/>
        <n v="86.0799999999999983"/>
        <n v="87.6599999999999966"/>
        <n v="89.9899999999999949"/>
        <n v="90.7800000000000011"/>
        <n v="90.7999999999999972"/>
        <n v="93.25"/>
        <n v="98.4300000000000068"/>
        <n v="98.8299999999999983"/>
        <n v="106.469999999999999"/>
        <n v="109.469999999999999"/>
        <n v="111.469999999999999"/>
        <n v="113.109999999999999"/>
        <n v="118.170000000000002"/>
        <n v="120.090000000000003"/>
        <n v="122.640000000000001"/>
        <n v="123.310000000000002"/>
        <n v="127.480000000000004"/>
        <n v="130.800000000000011"/>
        <n v="134.840000000000003"/>
        <n v="137.629999999999995"/>
        <n v="141.77000000000001"/>
        <n v="145.580000000000013"/>
        <n v="146.400000000000006"/>
        <n v="151.800000000000011"/>
        <n v="154.280000000000001"/>
        <n v="157.5"/>
        <n v="158.560000000000002"/>
        <n v="166.889999999999986"/>
        <n v="168.430000000000007"/>
        <n v="172.419999999999987"/>
        <n v="174.379999999999995"/>
        <n v="174.439999999999998"/>
        <n v="176.409999999999997"/>
        <n v="176.909999999999997"/>
        <n v="177.430000000000007"/>
        <n v="178.800000000000011"/>
        <n v="180.610000000000014"/>
        <n v="180.800000000000011"/>
        <n v="180.849999999999994"/>
        <n v="183.780000000000001"/>
        <n v="184.75"/>
        <n v="185.319999999999993"/>
        <n v="193.080000000000013"/>
        <n v="195.050000000000011"/>
        <n v="203.949999999999989"/>
        <n v="204.300000000000011"/>
        <n v="206.949999999999989"/>
        <n v="210.879999999999995"/>
        <n v="213.490000000000009"/>
        <n v="216.060000000000002"/>
        <n v="221.409999999999997"/>
        <n v="227.870000000000005"/>
        <n v="233.659999999999997"/>
        <n v="241.139999999999986"/>
        <n v="253.439999999999998"/>
        <n v="257.850000000000023"/>
        <n v="258.620000000000005"/>
        <n v="263.490000000000009"/>
        <n v="263.95999999999998"/>
        <n v="274.139999999999986"/>
        <n v="279.980000000000018"/>
        <n v="284.939999999999998"/>
        <n v="286.54000000000002"/>
        <n v="287.129999999999995"/>
        <n v="290.389999999999986"/>
        <n v="306.480000000000018"/>
        <n v="310.860000000000014"/>
        <n v="313.399999999999977"/>
        <n v="316.120000000000005"/>
        <n v="320.300000000000011"/>
        <n v="320.759999999999991"/>
        <n v="321.810000000000002"/>
        <n v="325.139999999999986"/>
        <n v="332.04000000000002"/>
        <n v="337.139999999999986"/>
        <n v="339.939999999999998"/>
        <n v="361.54000000000002"/>
        <n v="376.899999999999977"/>
        <n v="380.050000000000011"/>
        <n v="381.649999999999977"/>
        <n v="387.740000000000009"/>
        <n v="391.600000000000023"/>
        <n v="397.509999999999991"/>
        <n v="404.490000000000009"/>
        <n v="414"/>
        <n v="418"/>
        <n v="422.769999999999982"/>
        <n v="430.129999999999995"/>
        <n v="434.100000000000023"/>
        <n v="435.319999999999993"/>
        <n v="438.370000000000005"/>
        <n v="444.170000000000016"/>
        <n v="444.949999999999989"/>
        <n v="451.490000000000009"/>
        <n v="472.829999999999984"/>
        <n v="475.509999999999991"/>
        <n v="480.600000000000023"/>
        <n v="483.069999999999993"/>
        <n v="496.639999999999986"/>
        <n v="512.129999999999995"/>
        <n v="515.230000000000018"/>
        <n v="517.309999999999945"/>
        <n v="520.279999999999973"/>
        <n v="524.919999999999959"/>
        <n v="537.830000000000041"/>
        <n v="546.710000000000036"/>
        <n v="561.710000000000036"/>
        <n v="576.480000000000018"/>
        <n v="578.539999999999964"/>
        <n v="612.100000000000023"/>
        <n v="615.230000000000018"/>
        <n v="620.450000000000045"/>
        <n v="620.580000000000041"/>
        <n v="629.259999999999991"/>
        <n v="636.82000000000005"/>
        <n v="641.049999999999955"/>
        <n v="645.909999999999968"/>
        <n v="661.669999999999959"/>
        <n v="685.299999999999955"/>
        <n v="695.549999999999955"/>
        <n v="708.580000000000041"/>
        <n v="710.600000000000023"/>
        <n v="723.779999999999973"/>
        <n v="726.190000000000055"/>
        <n v="731.980000000000018"/>
        <n v="745.379999999999995"/>
        <n v="772.759999999999991"/>
        <n v="777.149999999999977"/>
        <n v="778.110000000000014"/>
        <n v="778.639999999999986"/>
        <n v="779.600000000000023"/>
        <n v="783.529999999999973"/>
        <n v="827.82000000000005"/>
        <n v="837.940000000000055"/>
        <n v="845.990000000000009"/>
        <n v="873.330000000000041"/>
        <n v="876.75"/>
        <n v="928.009999999999991"/>
        <n v="935.690000000000055"/>
        <n v="942.860000000000014"/>
        <n v="953.700000000000045"/>
        <n v="954.110000000000014"/>
        <n v="957.279999999999973"/>
        <n v="967.549999999999955"/>
        <n v="986.509999999999991"/>
        <n v="988.610000000000014"/>
        <n v="1000.64999999999998"/>
        <n v="1008.77999999999997"/>
        <n v="1020.35000000000002"/>
        <n v="1050.54999999999995"/>
        <n v="1058.45000000000005"/>
        <n v="1060.16000000000008"/>
        <n v="1179.07999999999993"/>
        <n v="1255.65000000000009"/>
        <n v="1264.53999999999996"/>
        <n v="1290.54999999999995"/>
        <n v="1299.52999999999997"/>
        <n v="1463.07999999999993"/>
        <n v="1479.25999999999999"/>
        <n v="1528.72000000000003"/>
        <n v="1563.91000000000008"/>
        <n v="1605.18000000000006"/>
        <n v="1619.92000000000007"/>
        <n v="1743.27999999999997"/>
        <n v="2060.38000000000011"/>
        <n v="2093.11000000000013"/>
        <n v="2117.23999999999978"/>
        <n v="2402.82000000000016"/>
        <n v="2629.90000000000009"/>
        <n v="2665.55000000000018"/>
        <n v="2670.23999999999978"/>
        <n v="2845.40999999999985"/>
        <n v="3411.69999999999982"/>
        <n v="3592.2199999999998"/>
        <n v="3605.88000000000011"/>
        <n v="3654"/>
        <n v="6026.61999999999989"/>
        <n v="6084.97999999999956"/>
      </sharedItems>
    </cacheField>
    <cacheField name="Source" numFmtId="0">
      <sharedItems count="1">
        <s v="GI Council"/>
      </sharedItems>
    </cacheField>
  </cacheFields>
</pivotCacheDefinition>
</file>

<file path=xl/pivotCache/pivotCacheRecords1.xml><?xml version="1.0" encoding="utf-8"?>
<pivotCacheRecords xmlns="http://schemas.openxmlformats.org/spreadsheetml/2006/main" xmlns:r="http://schemas.openxmlformats.org/officeDocument/2006/relationships" count="340">
  <r>
    <x v="0"/>
    <x v="1"/>
    <x v="0"/>
    <x v="5"/>
    <x v="0"/>
  </r>
  <r>
    <x v="0"/>
    <x v="1"/>
    <x v="3"/>
    <x v="3"/>
    <x v="0"/>
  </r>
  <r>
    <x v="0"/>
    <x v="1"/>
    <x v="4"/>
    <x v="93"/>
    <x v="0"/>
  </r>
  <r>
    <x v="0"/>
    <x v="1"/>
    <x v="2"/>
    <x v="117"/>
    <x v="0"/>
  </r>
  <r>
    <x v="0"/>
    <x v="1"/>
    <x v="1"/>
    <x v="150"/>
    <x v="0"/>
  </r>
  <r>
    <x v="0"/>
    <x v="0"/>
    <x v="0"/>
    <x v="3"/>
    <x v="0"/>
  </r>
  <r>
    <x v="0"/>
    <x v="0"/>
    <x v="3"/>
    <x v="3"/>
    <x v="0"/>
  </r>
  <r>
    <x v="0"/>
    <x v="0"/>
    <x v="4"/>
    <x v="82"/>
    <x v="0"/>
  </r>
  <r>
    <x v="0"/>
    <x v="0"/>
    <x v="2"/>
    <x v="90"/>
    <x v="0"/>
  </r>
  <r>
    <x v="0"/>
    <x v="0"/>
    <x v="1"/>
    <x v="122"/>
    <x v="0"/>
  </r>
  <r>
    <x v="3"/>
    <x v="1"/>
    <x v="0"/>
    <x v="196"/>
    <x v="0"/>
  </r>
  <r>
    <x v="3"/>
    <x v="1"/>
    <x v="3"/>
    <x v="98"/>
    <x v="0"/>
  </r>
  <r>
    <x v="3"/>
    <x v="1"/>
    <x v="4"/>
    <x v="198"/>
    <x v="0"/>
  </r>
  <r>
    <x v="3"/>
    <x v="1"/>
    <x v="2"/>
    <x v="227"/>
    <x v="0"/>
  </r>
  <r>
    <x v="3"/>
    <x v="1"/>
    <x v="1"/>
    <x v="257"/>
    <x v="0"/>
  </r>
  <r>
    <x v="3"/>
    <x v="0"/>
    <x v="0"/>
    <x v="217"/>
    <x v="0"/>
  </r>
  <r>
    <x v="3"/>
    <x v="0"/>
    <x v="3"/>
    <x v="78"/>
    <x v="0"/>
  </r>
  <r>
    <x v="3"/>
    <x v="0"/>
    <x v="4"/>
    <x v="193"/>
    <x v="0"/>
  </r>
  <r>
    <x v="3"/>
    <x v="0"/>
    <x v="2"/>
    <x v="204"/>
    <x v="0"/>
  </r>
  <r>
    <x v="3"/>
    <x v="0"/>
    <x v="1"/>
    <x v="255"/>
    <x v="0"/>
  </r>
  <r>
    <x v="5"/>
    <x v="1"/>
    <x v="0"/>
    <x v="95"/>
    <x v="0"/>
  </r>
  <r>
    <x v="5"/>
    <x v="1"/>
    <x v="3"/>
    <x v="79"/>
    <x v="0"/>
  </r>
  <r>
    <x v="5"/>
    <x v="1"/>
    <x v="4"/>
    <x v="181"/>
    <x v="0"/>
  </r>
  <r>
    <x v="5"/>
    <x v="1"/>
    <x v="2"/>
    <x v="87"/>
    <x v="0"/>
  </r>
  <r>
    <x v="5"/>
    <x v="1"/>
    <x v="1"/>
    <x v="213"/>
    <x v="0"/>
  </r>
  <r>
    <x v="5"/>
    <x v="0"/>
    <x v="0"/>
    <x v="103"/>
    <x v="0"/>
  </r>
  <r>
    <x v="5"/>
    <x v="0"/>
    <x v="3"/>
    <x v="59"/>
    <x v="0"/>
  </r>
  <r>
    <x v="5"/>
    <x v="0"/>
    <x v="4"/>
    <x v="171"/>
    <x v="0"/>
  </r>
  <r>
    <x v="5"/>
    <x v="0"/>
    <x v="2"/>
    <x v="102"/>
    <x v="0"/>
  </r>
  <r>
    <x v="5"/>
    <x v="0"/>
    <x v="1"/>
    <x v="208"/>
    <x v="0"/>
  </r>
  <r>
    <x v="8"/>
    <x v="1"/>
    <x v="0"/>
    <x v="86"/>
    <x v="0"/>
  </r>
  <r>
    <x v="8"/>
    <x v="1"/>
    <x v="3"/>
    <x v="52"/>
    <x v="0"/>
  </r>
  <r>
    <x v="8"/>
    <x v="1"/>
    <x v="4"/>
    <x v="118"/>
    <x v="0"/>
  </r>
  <r>
    <x v="8"/>
    <x v="1"/>
    <x v="2"/>
    <x v="125"/>
    <x v="0"/>
  </r>
  <r>
    <x v="8"/>
    <x v="1"/>
    <x v="1"/>
    <x v="188"/>
    <x v="0"/>
  </r>
  <r>
    <x v="8"/>
    <x v="0"/>
    <x v="0"/>
    <x v="114"/>
    <x v="0"/>
  </r>
  <r>
    <x v="8"/>
    <x v="0"/>
    <x v="3"/>
    <x v="51"/>
    <x v="0"/>
  </r>
  <r>
    <x v="8"/>
    <x v="0"/>
    <x v="4"/>
    <x v="111"/>
    <x v="0"/>
  </r>
  <r>
    <x v="8"/>
    <x v="0"/>
    <x v="2"/>
    <x v="145"/>
    <x v="0"/>
  </r>
  <r>
    <x v="8"/>
    <x v="0"/>
    <x v="1"/>
    <x v="203"/>
    <x v="0"/>
  </r>
  <r>
    <x v="9"/>
    <x v="1"/>
    <x v="0"/>
    <x v="97"/>
    <x v="0"/>
  </r>
  <r>
    <x v="9"/>
    <x v="1"/>
    <x v="3"/>
    <x v="58"/>
    <x v="0"/>
  </r>
  <r>
    <x v="9"/>
    <x v="1"/>
    <x v="4"/>
    <x v="189"/>
    <x v="0"/>
  </r>
  <r>
    <x v="9"/>
    <x v="1"/>
    <x v="2"/>
    <x v="133"/>
    <x v="0"/>
  </r>
  <r>
    <x v="9"/>
    <x v="1"/>
    <x v="1"/>
    <x v="231"/>
    <x v="0"/>
  </r>
  <r>
    <x v="9"/>
    <x v="0"/>
    <x v="0"/>
    <x v="136"/>
    <x v="0"/>
  </r>
  <r>
    <x v="9"/>
    <x v="0"/>
    <x v="3"/>
    <x v="53"/>
    <x v="0"/>
  </r>
  <r>
    <x v="9"/>
    <x v="0"/>
    <x v="4"/>
    <x v="186"/>
    <x v="0"/>
  </r>
  <r>
    <x v="9"/>
    <x v="0"/>
    <x v="2"/>
    <x v="128"/>
    <x v="0"/>
  </r>
  <r>
    <x v="9"/>
    <x v="0"/>
    <x v="1"/>
    <x v="234"/>
    <x v="0"/>
  </r>
  <r>
    <x v="10"/>
    <x v="1"/>
    <x v="0"/>
    <x v="162"/>
    <x v="0"/>
  </r>
  <r>
    <x v="10"/>
    <x v="1"/>
    <x v="3"/>
    <x v="71"/>
    <x v="0"/>
  </r>
  <r>
    <x v="10"/>
    <x v="1"/>
    <x v="4"/>
    <x v="149"/>
    <x v="0"/>
  </r>
  <r>
    <x v="10"/>
    <x v="1"/>
    <x v="2"/>
    <x v="218"/>
    <x v="0"/>
  </r>
  <r>
    <x v="10"/>
    <x v="1"/>
    <x v="1"/>
    <x v="251"/>
    <x v="0"/>
  </r>
  <r>
    <x v="10"/>
    <x v="0"/>
    <x v="0"/>
    <x v="191"/>
    <x v="0"/>
  </r>
  <r>
    <x v="10"/>
    <x v="0"/>
    <x v="3"/>
    <x v="60"/>
    <x v="0"/>
  </r>
  <r>
    <x v="10"/>
    <x v="0"/>
    <x v="4"/>
    <x v="130"/>
    <x v="0"/>
  </r>
  <r>
    <x v="10"/>
    <x v="0"/>
    <x v="2"/>
    <x v="197"/>
    <x v="0"/>
  </r>
  <r>
    <x v="10"/>
    <x v="0"/>
    <x v="1"/>
    <x v="250"/>
    <x v="0"/>
  </r>
  <r>
    <x v="11"/>
    <x v="1"/>
    <x v="0"/>
    <x v="194"/>
    <x v="0"/>
  </r>
  <r>
    <x v="11"/>
    <x v="1"/>
    <x v="3"/>
    <x v="132"/>
    <x v="0"/>
  </r>
  <r>
    <x v="11"/>
    <x v="1"/>
    <x v="4"/>
    <x v="229"/>
    <x v="0"/>
  </r>
  <r>
    <x v="11"/>
    <x v="1"/>
    <x v="2"/>
    <x v="245"/>
    <x v="0"/>
  </r>
  <r>
    <x v="11"/>
    <x v="1"/>
    <x v="1"/>
    <x v="263"/>
    <x v="0"/>
  </r>
  <r>
    <x v="11"/>
    <x v="0"/>
    <x v="0"/>
    <x v="225"/>
    <x v="0"/>
  </r>
  <r>
    <x v="11"/>
    <x v="0"/>
    <x v="3"/>
    <x v="120"/>
    <x v="0"/>
  </r>
  <r>
    <x v="11"/>
    <x v="0"/>
    <x v="4"/>
    <x v="222"/>
    <x v="0"/>
  </r>
  <r>
    <x v="11"/>
    <x v="0"/>
    <x v="2"/>
    <x v="240"/>
    <x v="0"/>
  </r>
  <r>
    <x v="11"/>
    <x v="0"/>
    <x v="1"/>
    <x v="261"/>
    <x v="0"/>
  </r>
  <r>
    <x v="12"/>
    <x v="1"/>
    <x v="0"/>
    <x v="119"/>
    <x v="0"/>
  </r>
  <r>
    <x v="12"/>
    <x v="1"/>
    <x v="3"/>
    <x v="72"/>
    <x v="0"/>
  </r>
  <r>
    <x v="12"/>
    <x v="1"/>
    <x v="4"/>
    <x v="174"/>
    <x v="0"/>
  </r>
  <r>
    <x v="12"/>
    <x v="1"/>
    <x v="2"/>
    <x v="94"/>
    <x v="0"/>
  </r>
  <r>
    <x v="12"/>
    <x v="1"/>
    <x v="1"/>
    <x v="224"/>
    <x v="0"/>
  </r>
  <r>
    <x v="12"/>
    <x v="0"/>
    <x v="0"/>
    <x v="139"/>
    <x v="0"/>
  </r>
  <r>
    <x v="12"/>
    <x v="0"/>
    <x v="3"/>
    <x v="67"/>
    <x v="0"/>
  </r>
  <r>
    <x v="12"/>
    <x v="0"/>
    <x v="4"/>
    <x v="159"/>
    <x v="0"/>
  </r>
  <r>
    <x v="12"/>
    <x v="0"/>
    <x v="2"/>
    <x v="75"/>
    <x v="0"/>
  </r>
  <r>
    <x v="12"/>
    <x v="0"/>
    <x v="1"/>
    <x v="219"/>
    <x v="0"/>
  </r>
  <r>
    <x v="13"/>
    <x v="1"/>
    <x v="0"/>
    <x v="161"/>
    <x v="0"/>
  </r>
  <r>
    <x v="13"/>
    <x v="1"/>
    <x v="3"/>
    <x v="70"/>
    <x v="0"/>
  </r>
  <r>
    <x v="13"/>
    <x v="1"/>
    <x v="4"/>
    <x v="156"/>
    <x v="0"/>
  </r>
  <r>
    <x v="13"/>
    <x v="1"/>
    <x v="2"/>
    <x v="210"/>
    <x v="0"/>
  </r>
  <r>
    <x v="13"/>
    <x v="1"/>
    <x v="1"/>
    <x v="248"/>
    <x v="0"/>
  </r>
  <r>
    <x v="13"/>
    <x v="0"/>
    <x v="0"/>
    <x v="192"/>
    <x v="0"/>
  </r>
  <r>
    <x v="13"/>
    <x v="0"/>
    <x v="3"/>
    <x v="61"/>
    <x v="0"/>
  </r>
  <r>
    <x v="13"/>
    <x v="0"/>
    <x v="4"/>
    <x v="155"/>
    <x v="0"/>
  </r>
  <r>
    <x v="13"/>
    <x v="0"/>
    <x v="2"/>
    <x v="169"/>
    <x v="0"/>
  </r>
  <r>
    <x v="13"/>
    <x v="0"/>
    <x v="1"/>
    <x v="246"/>
    <x v="0"/>
  </r>
  <r>
    <x v="14"/>
    <x v="1"/>
    <x v="0"/>
    <x v="3"/>
    <x v="0"/>
  </r>
  <r>
    <x v="14"/>
    <x v="1"/>
    <x v="3"/>
    <x v="3"/>
    <x v="0"/>
  </r>
  <r>
    <x v="14"/>
    <x v="1"/>
    <x v="4"/>
    <x v="16"/>
    <x v="0"/>
  </r>
  <r>
    <x v="14"/>
    <x v="1"/>
    <x v="2"/>
    <x v="4"/>
    <x v="0"/>
  </r>
  <r>
    <x v="14"/>
    <x v="1"/>
    <x v="1"/>
    <x v="26"/>
    <x v="0"/>
  </r>
  <r>
    <x v="14"/>
    <x v="0"/>
    <x v="0"/>
    <x v="3"/>
    <x v="0"/>
  </r>
  <r>
    <x v="14"/>
    <x v="0"/>
    <x v="3"/>
    <x v="3"/>
    <x v="0"/>
  </r>
  <r>
    <x v="14"/>
    <x v="0"/>
    <x v="4"/>
    <x v="3"/>
    <x v="0"/>
  </r>
  <r>
    <x v="14"/>
    <x v="0"/>
    <x v="2"/>
    <x v="3"/>
    <x v="0"/>
  </r>
  <r>
    <x v="14"/>
    <x v="0"/>
    <x v="1"/>
    <x v="153"/>
    <x v="0"/>
  </r>
  <r>
    <x v="15"/>
    <x v="1"/>
    <x v="0"/>
    <x v="41"/>
    <x v="0"/>
  </r>
  <r>
    <x v="15"/>
    <x v="1"/>
    <x v="3"/>
    <x v="18"/>
    <x v="0"/>
  </r>
  <r>
    <x v="15"/>
    <x v="1"/>
    <x v="4"/>
    <x v="129"/>
    <x v="0"/>
  </r>
  <r>
    <x v="15"/>
    <x v="1"/>
    <x v="2"/>
    <x v="84"/>
    <x v="0"/>
  </r>
  <r>
    <x v="15"/>
    <x v="1"/>
    <x v="1"/>
    <x v="154"/>
    <x v="0"/>
  </r>
  <r>
    <x v="15"/>
    <x v="0"/>
    <x v="0"/>
    <x v="34"/>
    <x v="0"/>
  </r>
  <r>
    <x v="15"/>
    <x v="0"/>
    <x v="3"/>
    <x v="22"/>
    <x v="0"/>
  </r>
  <r>
    <x v="15"/>
    <x v="0"/>
    <x v="4"/>
    <x v="104"/>
    <x v="0"/>
  </r>
  <r>
    <x v="15"/>
    <x v="0"/>
    <x v="2"/>
    <x v="81"/>
    <x v="0"/>
  </r>
  <r>
    <x v="15"/>
    <x v="0"/>
    <x v="1"/>
    <x v="141"/>
    <x v="0"/>
  </r>
  <r>
    <x v="16"/>
    <x v="1"/>
    <x v="0"/>
    <x v="69"/>
    <x v="0"/>
  </r>
  <r>
    <x v="16"/>
    <x v="1"/>
    <x v="3"/>
    <x v="24"/>
    <x v="0"/>
  </r>
  <r>
    <x v="16"/>
    <x v="1"/>
    <x v="4"/>
    <x v="109"/>
    <x v="0"/>
  </r>
  <r>
    <x v="16"/>
    <x v="1"/>
    <x v="2"/>
    <x v="113"/>
    <x v="0"/>
  </r>
  <r>
    <x v="16"/>
    <x v="1"/>
    <x v="1"/>
    <x v="165"/>
    <x v="0"/>
  </r>
  <r>
    <x v="16"/>
    <x v="0"/>
    <x v="0"/>
    <x v="73"/>
    <x v="0"/>
  </r>
  <r>
    <x v="16"/>
    <x v="0"/>
    <x v="3"/>
    <x v="21"/>
    <x v="0"/>
  </r>
  <r>
    <x v="16"/>
    <x v="0"/>
    <x v="4"/>
    <x v="115"/>
    <x v="0"/>
  </r>
  <r>
    <x v="16"/>
    <x v="0"/>
    <x v="2"/>
    <x v="100"/>
    <x v="0"/>
  </r>
  <r>
    <x v="16"/>
    <x v="0"/>
    <x v="1"/>
    <x v="166"/>
    <x v="0"/>
  </r>
  <r>
    <x v="19"/>
    <x v="1"/>
    <x v="0"/>
    <x v="146"/>
    <x v="0"/>
  </r>
  <r>
    <x v="19"/>
    <x v="1"/>
    <x v="3"/>
    <x v="62"/>
    <x v="0"/>
  </r>
  <r>
    <x v="19"/>
    <x v="1"/>
    <x v="4"/>
    <x v="184"/>
    <x v="0"/>
  </r>
  <r>
    <x v="19"/>
    <x v="1"/>
    <x v="2"/>
    <x v="202"/>
    <x v="0"/>
  </r>
  <r>
    <x v="19"/>
    <x v="1"/>
    <x v="1"/>
    <x v="249"/>
    <x v="0"/>
  </r>
  <r>
    <x v="19"/>
    <x v="0"/>
    <x v="0"/>
    <x v="151"/>
    <x v="0"/>
  </r>
  <r>
    <x v="19"/>
    <x v="0"/>
    <x v="3"/>
    <x v="50"/>
    <x v="0"/>
  </r>
  <r>
    <x v="19"/>
    <x v="0"/>
    <x v="4"/>
    <x v="177"/>
    <x v="0"/>
  </r>
  <r>
    <x v="19"/>
    <x v="0"/>
    <x v="2"/>
    <x v="200"/>
    <x v="0"/>
  </r>
  <r>
    <x v="19"/>
    <x v="0"/>
    <x v="1"/>
    <x v="247"/>
    <x v="0"/>
  </r>
  <r>
    <x v="20"/>
    <x v="1"/>
    <x v="0"/>
    <x v="1"/>
    <x v="0"/>
  </r>
  <r>
    <x v="20"/>
    <x v="1"/>
    <x v="3"/>
    <x v="3"/>
    <x v="0"/>
  </r>
  <r>
    <x v="20"/>
    <x v="1"/>
    <x v="4"/>
    <x v="15"/>
    <x v="0"/>
  </r>
  <r>
    <x v="20"/>
    <x v="1"/>
    <x v="2"/>
    <x v="38"/>
    <x v="0"/>
  </r>
  <r>
    <x v="20"/>
    <x v="1"/>
    <x v="1"/>
    <x v="43"/>
    <x v="0"/>
  </r>
  <r>
    <x v="20"/>
    <x v="0"/>
    <x v="0"/>
    <x v="2"/>
    <x v="0"/>
  </r>
  <r>
    <x v="20"/>
    <x v="0"/>
    <x v="3"/>
    <x v="3"/>
    <x v="0"/>
  </r>
  <r>
    <x v="20"/>
    <x v="0"/>
    <x v="4"/>
    <x v="6"/>
    <x v="0"/>
  </r>
  <r>
    <x v="20"/>
    <x v="0"/>
    <x v="2"/>
    <x v="54"/>
    <x v="0"/>
  </r>
  <r>
    <x v="20"/>
    <x v="0"/>
    <x v="1"/>
    <x v="55"/>
    <x v="0"/>
  </r>
  <r>
    <x v="22"/>
    <x v="1"/>
    <x v="0"/>
    <x v="9"/>
    <x v="0"/>
  </r>
  <r>
    <x v="22"/>
    <x v="1"/>
    <x v="3"/>
    <x v="3"/>
    <x v="0"/>
  </r>
  <r>
    <x v="22"/>
    <x v="1"/>
    <x v="4"/>
    <x v="27"/>
    <x v="0"/>
  </r>
  <r>
    <x v="22"/>
    <x v="1"/>
    <x v="2"/>
    <x v="10"/>
    <x v="0"/>
  </r>
  <r>
    <x v="22"/>
    <x v="1"/>
    <x v="1"/>
    <x v="35"/>
    <x v="0"/>
  </r>
  <r>
    <x v="22"/>
    <x v="0"/>
    <x v="0"/>
    <x v="13"/>
    <x v="0"/>
  </r>
  <r>
    <x v="22"/>
    <x v="0"/>
    <x v="3"/>
    <x v="0"/>
    <x v="0"/>
  </r>
  <r>
    <x v="22"/>
    <x v="0"/>
    <x v="4"/>
    <x v="19"/>
    <x v="0"/>
  </r>
  <r>
    <x v="22"/>
    <x v="0"/>
    <x v="2"/>
    <x v="8"/>
    <x v="0"/>
  </r>
  <r>
    <x v="22"/>
    <x v="0"/>
    <x v="1"/>
    <x v="44"/>
    <x v="0"/>
  </r>
  <r>
    <x v="23"/>
    <x v="1"/>
    <x v="0"/>
    <x v="76"/>
    <x v="0"/>
  </r>
  <r>
    <x v="23"/>
    <x v="1"/>
    <x v="3"/>
    <x v="37"/>
    <x v="0"/>
  </r>
  <r>
    <x v="23"/>
    <x v="1"/>
    <x v="4"/>
    <x v="137"/>
    <x v="0"/>
  </r>
  <r>
    <x v="23"/>
    <x v="1"/>
    <x v="2"/>
    <x v="143"/>
    <x v="0"/>
  </r>
  <r>
    <x v="23"/>
    <x v="1"/>
    <x v="1"/>
    <x v="195"/>
    <x v="0"/>
  </r>
  <r>
    <x v="23"/>
    <x v="0"/>
    <x v="0"/>
    <x v="92"/>
    <x v="0"/>
  </r>
  <r>
    <x v="23"/>
    <x v="0"/>
    <x v="3"/>
    <x v="31"/>
    <x v="0"/>
  </r>
  <r>
    <x v="23"/>
    <x v="0"/>
    <x v="4"/>
    <x v="123"/>
    <x v="0"/>
  </r>
  <r>
    <x v="23"/>
    <x v="0"/>
    <x v="2"/>
    <x v="138"/>
    <x v="0"/>
  </r>
  <r>
    <x v="23"/>
    <x v="0"/>
    <x v="1"/>
    <x v="190"/>
    <x v="0"/>
  </r>
  <r>
    <x v="24"/>
    <x v="1"/>
    <x v="0"/>
    <x v="126"/>
    <x v="0"/>
  </r>
  <r>
    <x v="24"/>
    <x v="1"/>
    <x v="3"/>
    <x v="56"/>
    <x v="0"/>
  </r>
  <r>
    <x v="24"/>
    <x v="1"/>
    <x v="4"/>
    <x v="170"/>
    <x v="0"/>
  </r>
  <r>
    <x v="24"/>
    <x v="1"/>
    <x v="2"/>
    <x v="187"/>
    <x v="0"/>
  </r>
  <r>
    <x v="24"/>
    <x v="1"/>
    <x v="1"/>
    <x v="244"/>
    <x v="0"/>
  </r>
  <r>
    <x v="24"/>
    <x v="0"/>
    <x v="0"/>
    <x v="158"/>
    <x v="0"/>
  </r>
  <r>
    <x v="24"/>
    <x v="0"/>
    <x v="3"/>
    <x v="49"/>
    <x v="0"/>
  </r>
  <r>
    <x v="24"/>
    <x v="0"/>
    <x v="4"/>
    <x v="168"/>
    <x v="0"/>
  </r>
  <r>
    <x v="24"/>
    <x v="0"/>
    <x v="2"/>
    <x v="180"/>
    <x v="0"/>
  </r>
  <r>
    <x v="24"/>
    <x v="0"/>
    <x v="1"/>
    <x v="243"/>
    <x v="0"/>
  </r>
  <r>
    <x v="25"/>
    <x v="1"/>
    <x v="0"/>
    <x v="28"/>
    <x v="0"/>
  </r>
  <r>
    <x v="25"/>
    <x v="1"/>
    <x v="3"/>
    <x v="12"/>
    <x v="0"/>
  </r>
  <r>
    <x v="25"/>
    <x v="1"/>
    <x v="4"/>
    <x v="160"/>
    <x v="0"/>
  </r>
  <r>
    <x v="25"/>
    <x v="1"/>
    <x v="2"/>
    <x v="23"/>
    <x v="0"/>
  </r>
  <r>
    <x v="25"/>
    <x v="1"/>
    <x v="1"/>
    <x v="164"/>
    <x v="0"/>
  </r>
  <r>
    <x v="25"/>
    <x v="0"/>
    <x v="0"/>
    <x v="40"/>
    <x v="0"/>
  </r>
  <r>
    <x v="25"/>
    <x v="0"/>
    <x v="3"/>
    <x v="7"/>
    <x v="0"/>
  </r>
  <r>
    <x v="25"/>
    <x v="0"/>
    <x v="4"/>
    <x v="144"/>
    <x v="0"/>
  </r>
  <r>
    <x v="25"/>
    <x v="0"/>
    <x v="2"/>
    <x v="11"/>
    <x v="0"/>
  </r>
  <r>
    <x v="25"/>
    <x v="0"/>
    <x v="1"/>
    <x v="152"/>
    <x v="0"/>
  </r>
  <r>
    <x v="27"/>
    <x v="1"/>
    <x v="0"/>
    <x v="172"/>
    <x v="0"/>
  </r>
  <r>
    <x v="27"/>
    <x v="1"/>
    <x v="3"/>
    <x v="106"/>
    <x v="0"/>
  </r>
  <r>
    <x v="27"/>
    <x v="1"/>
    <x v="4"/>
    <x v="223"/>
    <x v="0"/>
  </r>
  <r>
    <x v="27"/>
    <x v="1"/>
    <x v="2"/>
    <x v="233"/>
    <x v="0"/>
  </r>
  <r>
    <x v="27"/>
    <x v="1"/>
    <x v="1"/>
    <x v="259"/>
    <x v="0"/>
  </r>
  <r>
    <x v="27"/>
    <x v="0"/>
    <x v="0"/>
    <x v="179"/>
    <x v="0"/>
  </r>
  <r>
    <x v="27"/>
    <x v="0"/>
    <x v="3"/>
    <x v="101"/>
    <x v="0"/>
  </r>
  <r>
    <x v="27"/>
    <x v="0"/>
    <x v="4"/>
    <x v="206"/>
    <x v="0"/>
  </r>
  <r>
    <x v="27"/>
    <x v="0"/>
    <x v="2"/>
    <x v="173"/>
    <x v="0"/>
  </r>
  <r>
    <x v="27"/>
    <x v="0"/>
    <x v="1"/>
    <x v="252"/>
    <x v="0"/>
  </r>
  <r>
    <x v="28"/>
    <x v="1"/>
    <x v="0"/>
    <x v="215"/>
    <x v="0"/>
  </r>
  <r>
    <x v="28"/>
    <x v="1"/>
    <x v="3"/>
    <x v="131"/>
    <x v="0"/>
  </r>
  <r>
    <x v="28"/>
    <x v="1"/>
    <x v="4"/>
    <x v="230"/>
    <x v="0"/>
  </r>
  <r>
    <x v="28"/>
    <x v="1"/>
    <x v="2"/>
    <x v="262"/>
    <x v="0"/>
  </r>
  <r>
    <x v="28"/>
    <x v="1"/>
    <x v="1"/>
    <x v="265"/>
    <x v="0"/>
  </r>
  <r>
    <x v="28"/>
    <x v="0"/>
    <x v="0"/>
    <x v="238"/>
    <x v="0"/>
  </r>
  <r>
    <x v="28"/>
    <x v="0"/>
    <x v="3"/>
    <x v="110"/>
    <x v="0"/>
  </r>
  <r>
    <x v="28"/>
    <x v="0"/>
    <x v="4"/>
    <x v="220"/>
    <x v="0"/>
  </r>
  <r>
    <x v="28"/>
    <x v="0"/>
    <x v="2"/>
    <x v="260"/>
    <x v="0"/>
  </r>
  <r>
    <x v="28"/>
    <x v="0"/>
    <x v="1"/>
    <x v="264"/>
    <x v="0"/>
  </r>
  <r>
    <x v="29"/>
    <x v="1"/>
    <x v="0"/>
    <x v="134"/>
    <x v="0"/>
  </r>
  <r>
    <x v="29"/>
    <x v="1"/>
    <x v="3"/>
    <x v="91"/>
    <x v="0"/>
  </r>
  <r>
    <x v="29"/>
    <x v="1"/>
    <x v="4"/>
    <x v="157"/>
    <x v="0"/>
  </r>
  <r>
    <x v="29"/>
    <x v="1"/>
    <x v="2"/>
    <x v="228"/>
    <x v="0"/>
  </r>
  <r>
    <x v="29"/>
    <x v="1"/>
    <x v="1"/>
    <x v="258"/>
    <x v="0"/>
  </r>
  <r>
    <x v="29"/>
    <x v="0"/>
    <x v="0"/>
    <x v="163"/>
    <x v="0"/>
  </r>
  <r>
    <x v="29"/>
    <x v="0"/>
    <x v="3"/>
    <x v="77"/>
    <x v="0"/>
  </r>
  <r>
    <x v="29"/>
    <x v="0"/>
    <x v="4"/>
    <x v="167"/>
    <x v="0"/>
  </r>
  <r>
    <x v="29"/>
    <x v="0"/>
    <x v="2"/>
    <x v="236"/>
    <x v="0"/>
  </r>
  <r>
    <x v="29"/>
    <x v="0"/>
    <x v="1"/>
    <x v="256"/>
    <x v="0"/>
  </r>
  <r>
    <x v="30"/>
    <x v="1"/>
    <x v="0"/>
    <x v="121"/>
    <x v="0"/>
  </r>
  <r>
    <x v="30"/>
    <x v="1"/>
    <x v="3"/>
    <x v="65"/>
    <x v="0"/>
  </r>
  <r>
    <x v="30"/>
    <x v="1"/>
    <x v="4"/>
    <x v="216"/>
    <x v="0"/>
  </r>
  <r>
    <x v="30"/>
    <x v="1"/>
    <x v="2"/>
    <x v="226"/>
    <x v="0"/>
  </r>
  <r>
    <x v="30"/>
    <x v="1"/>
    <x v="1"/>
    <x v="254"/>
    <x v="0"/>
  </r>
  <r>
    <x v="30"/>
    <x v="0"/>
    <x v="0"/>
    <x v="142"/>
    <x v="0"/>
  </r>
  <r>
    <x v="30"/>
    <x v="0"/>
    <x v="3"/>
    <x v="63"/>
    <x v="0"/>
  </r>
  <r>
    <x v="30"/>
    <x v="0"/>
    <x v="4"/>
    <x v="214"/>
    <x v="0"/>
  </r>
  <r>
    <x v="30"/>
    <x v="0"/>
    <x v="2"/>
    <x v="221"/>
    <x v="0"/>
  </r>
  <r>
    <x v="30"/>
    <x v="0"/>
    <x v="1"/>
    <x v="253"/>
    <x v="0"/>
  </r>
  <r>
    <x v="31"/>
    <x v="1"/>
    <x v="0"/>
    <x v="68"/>
    <x v="0"/>
  </r>
  <r>
    <x v="31"/>
    <x v="1"/>
    <x v="3"/>
    <x v="42"/>
    <x v="0"/>
  </r>
  <r>
    <x v="31"/>
    <x v="1"/>
    <x v="4"/>
    <x v="176"/>
    <x v="0"/>
  </r>
  <r>
    <x v="31"/>
    <x v="1"/>
    <x v="2"/>
    <x v="112"/>
    <x v="0"/>
  </r>
  <r>
    <x v="31"/>
    <x v="1"/>
    <x v="1"/>
    <x v="207"/>
    <x v="0"/>
  </r>
  <r>
    <x v="31"/>
    <x v="0"/>
    <x v="0"/>
    <x v="99"/>
    <x v="0"/>
  </r>
  <r>
    <x v="31"/>
    <x v="0"/>
    <x v="3"/>
    <x v="30"/>
    <x v="0"/>
  </r>
  <r>
    <x v="31"/>
    <x v="0"/>
    <x v="4"/>
    <x v="116"/>
    <x v="0"/>
  </r>
  <r>
    <x v="31"/>
    <x v="0"/>
    <x v="2"/>
    <x v="107"/>
    <x v="0"/>
  </r>
  <r>
    <x v="31"/>
    <x v="0"/>
    <x v="1"/>
    <x v="182"/>
    <x v="0"/>
  </r>
  <r>
    <x v="32"/>
    <x v="1"/>
    <x v="0"/>
    <x v="32"/>
    <x v="0"/>
  </r>
  <r>
    <x v="32"/>
    <x v="1"/>
    <x v="3"/>
    <x v="5"/>
    <x v="0"/>
  </r>
  <r>
    <x v="32"/>
    <x v="1"/>
    <x v="4"/>
    <x v="74"/>
    <x v="0"/>
  </r>
  <r>
    <x v="32"/>
    <x v="1"/>
    <x v="2"/>
    <x v="64"/>
    <x v="0"/>
  </r>
  <r>
    <x v="32"/>
    <x v="1"/>
    <x v="1"/>
    <x v="108"/>
    <x v="0"/>
  </r>
  <r>
    <x v="32"/>
    <x v="0"/>
    <x v="0"/>
    <x v="39"/>
    <x v="0"/>
  </r>
  <r>
    <x v="32"/>
    <x v="0"/>
    <x v="3"/>
    <x v="3"/>
    <x v="0"/>
  </r>
  <r>
    <x v="32"/>
    <x v="0"/>
    <x v="4"/>
    <x v="66"/>
    <x v="0"/>
  </r>
  <r>
    <x v="32"/>
    <x v="0"/>
    <x v="2"/>
    <x v="57"/>
    <x v="0"/>
  </r>
  <r>
    <x v="32"/>
    <x v="0"/>
    <x v="1"/>
    <x v="88"/>
    <x v="0"/>
  </r>
  <r>
    <x v="33"/>
    <x v="1"/>
    <x v="0"/>
    <x v="48"/>
    <x v="0"/>
  </r>
  <r>
    <x v="33"/>
    <x v="1"/>
    <x v="3"/>
    <x v="46"/>
    <x v="0"/>
  </r>
  <r>
    <x v="33"/>
    <x v="1"/>
    <x v="4"/>
    <x v="83"/>
    <x v="0"/>
  </r>
  <r>
    <x v="33"/>
    <x v="1"/>
    <x v="2"/>
    <x v="80"/>
    <x v="0"/>
  </r>
  <r>
    <x v="33"/>
    <x v="1"/>
    <x v="1"/>
    <x v="135"/>
    <x v="0"/>
  </r>
  <r>
    <x v="33"/>
    <x v="0"/>
    <x v="0"/>
    <x v="29"/>
    <x v="0"/>
  </r>
  <r>
    <x v="33"/>
    <x v="0"/>
    <x v="3"/>
    <x v="14"/>
    <x v="0"/>
  </r>
  <r>
    <x v="33"/>
    <x v="0"/>
    <x v="4"/>
    <x v="85"/>
    <x v="0"/>
  </r>
  <r>
    <x v="33"/>
    <x v="0"/>
    <x v="2"/>
    <x v="105"/>
    <x v="0"/>
  </r>
  <r>
    <x v="33"/>
    <x v="0"/>
    <x v="1"/>
    <x v="140"/>
    <x v="0"/>
  </r>
  <r>
    <x v="21"/>
    <x v="1"/>
    <x v="0"/>
    <x v="3"/>
    <x v="0"/>
  </r>
  <r>
    <x v="21"/>
    <x v="1"/>
    <x v="3"/>
    <x v="3"/>
    <x v="0"/>
  </r>
  <r>
    <x v="21"/>
    <x v="1"/>
    <x v="4"/>
    <x v="3"/>
    <x v="0"/>
  </r>
  <r>
    <x v="21"/>
    <x v="1"/>
    <x v="2"/>
    <x v="199"/>
    <x v="0"/>
  </r>
  <r>
    <x v="21"/>
    <x v="1"/>
    <x v="1"/>
    <x v="201"/>
    <x v="0"/>
  </r>
  <r>
    <x v="21"/>
    <x v="0"/>
    <x v="0"/>
    <x v="3"/>
    <x v="0"/>
  </r>
  <r>
    <x v="21"/>
    <x v="0"/>
    <x v="3"/>
    <x v="3"/>
    <x v="0"/>
  </r>
  <r>
    <x v="21"/>
    <x v="0"/>
    <x v="4"/>
    <x v="3"/>
    <x v="0"/>
  </r>
  <r>
    <x v="21"/>
    <x v="0"/>
    <x v="2"/>
    <x v="183"/>
    <x v="0"/>
  </r>
  <r>
    <x v="21"/>
    <x v="0"/>
    <x v="1"/>
    <x v="185"/>
    <x v="0"/>
  </r>
  <r>
    <x v="1"/>
    <x v="1"/>
    <x v="0"/>
    <x v="3"/>
    <x v="0"/>
  </r>
  <r>
    <x v="1"/>
    <x v="1"/>
    <x v="3"/>
    <x v="3"/>
    <x v="0"/>
  </r>
  <r>
    <x v="1"/>
    <x v="1"/>
    <x v="4"/>
    <x v="3"/>
    <x v="0"/>
  </r>
  <r>
    <x v="1"/>
    <x v="1"/>
    <x v="2"/>
    <x v="205"/>
    <x v="0"/>
  </r>
  <r>
    <x v="1"/>
    <x v="1"/>
    <x v="1"/>
    <x v="212"/>
    <x v="0"/>
  </r>
  <r>
    <x v="1"/>
    <x v="0"/>
    <x v="0"/>
    <x v="3"/>
    <x v="0"/>
  </r>
  <r>
    <x v="1"/>
    <x v="0"/>
    <x v="3"/>
    <x v="3"/>
    <x v="0"/>
  </r>
  <r>
    <x v="1"/>
    <x v="0"/>
    <x v="4"/>
    <x v="3"/>
    <x v="0"/>
  </r>
  <r>
    <x v="1"/>
    <x v="0"/>
    <x v="2"/>
    <x v="175"/>
    <x v="0"/>
  </r>
  <r>
    <x v="1"/>
    <x v="0"/>
    <x v="1"/>
    <x v="178"/>
    <x v="0"/>
  </r>
  <r>
    <x v="4"/>
    <x v="1"/>
    <x v="0"/>
    <x v="3"/>
    <x v="0"/>
  </r>
  <r>
    <x v="4"/>
    <x v="1"/>
    <x v="3"/>
    <x v="3"/>
    <x v="0"/>
  </r>
  <r>
    <x v="4"/>
    <x v="1"/>
    <x v="4"/>
    <x v="3"/>
    <x v="0"/>
  </r>
  <r>
    <x v="4"/>
    <x v="1"/>
    <x v="2"/>
    <x v="232"/>
    <x v="0"/>
  </r>
  <r>
    <x v="4"/>
    <x v="1"/>
    <x v="1"/>
    <x v="235"/>
    <x v="0"/>
  </r>
  <r>
    <x v="4"/>
    <x v="0"/>
    <x v="0"/>
    <x v="3"/>
    <x v="0"/>
  </r>
  <r>
    <x v="4"/>
    <x v="0"/>
    <x v="3"/>
    <x v="3"/>
    <x v="0"/>
  </r>
  <r>
    <x v="4"/>
    <x v="0"/>
    <x v="4"/>
    <x v="3"/>
    <x v="0"/>
  </r>
  <r>
    <x v="4"/>
    <x v="0"/>
    <x v="2"/>
    <x v="209"/>
    <x v="0"/>
  </r>
  <r>
    <x v="4"/>
    <x v="0"/>
    <x v="1"/>
    <x v="211"/>
    <x v="0"/>
  </r>
  <r>
    <x v="7"/>
    <x v="1"/>
    <x v="0"/>
    <x v="3"/>
    <x v="0"/>
  </r>
  <r>
    <x v="7"/>
    <x v="1"/>
    <x v="3"/>
    <x v="3"/>
    <x v="0"/>
  </r>
  <r>
    <x v="7"/>
    <x v="1"/>
    <x v="4"/>
    <x v="3"/>
    <x v="0"/>
  </r>
  <r>
    <x v="7"/>
    <x v="1"/>
    <x v="2"/>
    <x v="33"/>
    <x v="0"/>
  </r>
  <r>
    <x v="7"/>
    <x v="1"/>
    <x v="1"/>
    <x v="36"/>
    <x v="0"/>
  </r>
  <r>
    <x v="7"/>
    <x v="0"/>
    <x v="0"/>
    <x v="3"/>
    <x v="0"/>
  </r>
  <r>
    <x v="7"/>
    <x v="0"/>
    <x v="3"/>
    <x v="3"/>
    <x v="0"/>
  </r>
  <r>
    <x v="7"/>
    <x v="0"/>
    <x v="4"/>
    <x v="3"/>
    <x v="0"/>
  </r>
  <r>
    <x v="7"/>
    <x v="0"/>
    <x v="2"/>
    <x v="17"/>
    <x v="0"/>
  </r>
  <r>
    <x v="7"/>
    <x v="0"/>
    <x v="1"/>
    <x v="20"/>
    <x v="0"/>
  </r>
  <r>
    <x v="17"/>
    <x v="1"/>
    <x v="0"/>
    <x v="3"/>
    <x v="0"/>
  </r>
  <r>
    <x v="17"/>
    <x v="1"/>
    <x v="3"/>
    <x v="3"/>
    <x v="0"/>
  </r>
  <r>
    <x v="17"/>
    <x v="1"/>
    <x v="4"/>
    <x v="3"/>
    <x v="0"/>
  </r>
  <r>
    <x v="17"/>
    <x v="1"/>
    <x v="2"/>
    <x v="147"/>
    <x v="0"/>
  </r>
  <r>
    <x v="17"/>
    <x v="1"/>
    <x v="1"/>
    <x v="148"/>
    <x v="0"/>
  </r>
  <r>
    <x v="17"/>
    <x v="0"/>
    <x v="0"/>
    <x v="3"/>
    <x v="0"/>
  </r>
  <r>
    <x v="17"/>
    <x v="0"/>
    <x v="3"/>
    <x v="3"/>
    <x v="0"/>
  </r>
  <r>
    <x v="17"/>
    <x v="0"/>
    <x v="4"/>
    <x v="3"/>
    <x v="0"/>
  </r>
  <r>
    <x v="17"/>
    <x v="0"/>
    <x v="2"/>
    <x v="124"/>
    <x v="0"/>
  </r>
  <r>
    <x v="17"/>
    <x v="0"/>
    <x v="1"/>
    <x v="127"/>
    <x v="0"/>
  </r>
  <r>
    <x v="18"/>
    <x v="1"/>
    <x v="0"/>
    <x v="3"/>
    <x v="0"/>
  </r>
  <r>
    <x v="18"/>
    <x v="1"/>
    <x v="3"/>
    <x v="3"/>
    <x v="0"/>
  </r>
  <r>
    <x v="18"/>
    <x v="1"/>
    <x v="4"/>
    <x v="3"/>
    <x v="0"/>
  </r>
  <r>
    <x v="18"/>
    <x v="1"/>
    <x v="2"/>
    <x v="47"/>
    <x v="0"/>
  </r>
  <r>
    <x v="18"/>
    <x v="1"/>
    <x v="1"/>
    <x v="47"/>
    <x v="0"/>
  </r>
  <r>
    <x v="18"/>
    <x v="0"/>
    <x v="0"/>
    <x v="3"/>
    <x v="0"/>
  </r>
  <r>
    <x v="18"/>
    <x v="0"/>
    <x v="3"/>
    <x v="3"/>
    <x v="0"/>
  </r>
  <r>
    <x v="18"/>
    <x v="0"/>
    <x v="4"/>
    <x v="3"/>
    <x v="0"/>
  </r>
  <r>
    <x v="18"/>
    <x v="0"/>
    <x v="2"/>
    <x v="10"/>
    <x v="0"/>
  </r>
  <r>
    <x v="18"/>
    <x v="0"/>
    <x v="1"/>
    <x v="10"/>
    <x v="0"/>
  </r>
  <r>
    <x v="26"/>
    <x v="1"/>
    <x v="0"/>
    <x v="3"/>
    <x v="0"/>
  </r>
  <r>
    <x v="26"/>
    <x v="1"/>
    <x v="3"/>
    <x v="3"/>
    <x v="0"/>
  </r>
  <r>
    <x v="26"/>
    <x v="1"/>
    <x v="4"/>
    <x v="3"/>
    <x v="0"/>
  </r>
  <r>
    <x v="26"/>
    <x v="1"/>
    <x v="2"/>
    <x v="241"/>
    <x v="0"/>
  </r>
  <r>
    <x v="26"/>
    <x v="1"/>
    <x v="1"/>
    <x v="242"/>
    <x v="0"/>
  </r>
  <r>
    <x v="26"/>
    <x v="0"/>
    <x v="0"/>
    <x v="3"/>
    <x v="0"/>
  </r>
  <r>
    <x v="26"/>
    <x v="0"/>
    <x v="3"/>
    <x v="3"/>
    <x v="0"/>
  </r>
  <r>
    <x v="26"/>
    <x v="0"/>
    <x v="4"/>
    <x v="3"/>
    <x v="0"/>
  </r>
  <r>
    <x v="26"/>
    <x v="0"/>
    <x v="2"/>
    <x v="237"/>
    <x v="0"/>
  </r>
  <r>
    <x v="26"/>
    <x v="0"/>
    <x v="1"/>
    <x v="239"/>
    <x v="0"/>
  </r>
  <r>
    <x v="2"/>
    <x v="1"/>
    <x v="0"/>
    <x v="3"/>
    <x v="0"/>
  </r>
  <r>
    <x v="2"/>
    <x v="1"/>
    <x v="3"/>
    <x v="3"/>
    <x v="0"/>
  </r>
  <r>
    <x v="2"/>
    <x v="1"/>
    <x v="4"/>
    <x v="3"/>
    <x v="0"/>
  </r>
  <r>
    <x v="2"/>
    <x v="1"/>
    <x v="2"/>
    <x v="3"/>
    <x v="0"/>
  </r>
  <r>
    <x v="2"/>
    <x v="1"/>
    <x v="1"/>
    <x v="45"/>
    <x v="0"/>
  </r>
  <r>
    <x v="2"/>
    <x v="0"/>
    <x v="0"/>
    <x v="3"/>
    <x v="0"/>
  </r>
  <r>
    <x v="2"/>
    <x v="0"/>
    <x v="3"/>
    <x v="3"/>
    <x v="0"/>
  </r>
  <r>
    <x v="2"/>
    <x v="0"/>
    <x v="4"/>
    <x v="3"/>
    <x v="0"/>
  </r>
  <r>
    <x v="2"/>
    <x v="0"/>
    <x v="2"/>
    <x v="3"/>
    <x v="0"/>
  </r>
  <r>
    <x v="2"/>
    <x v="0"/>
    <x v="1"/>
    <x v="25"/>
    <x v="0"/>
  </r>
  <r>
    <x v="6"/>
    <x v="1"/>
    <x v="0"/>
    <x v="3"/>
    <x v="0"/>
  </r>
  <r>
    <x v="6"/>
    <x v="1"/>
    <x v="3"/>
    <x v="3"/>
    <x v="0"/>
  </r>
  <r>
    <x v="6"/>
    <x v="1"/>
    <x v="4"/>
    <x v="3"/>
    <x v="0"/>
  </r>
  <r>
    <x v="6"/>
    <x v="1"/>
    <x v="2"/>
    <x v="3"/>
    <x v="0"/>
  </r>
  <r>
    <x v="6"/>
    <x v="1"/>
    <x v="1"/>
    <x v="96"/>
    <x v="0"/>
  </r>
  <r>
    <x v="6"/>
    <x v="0"/>
    <x v="0"/>
    <x v="3"/>
    <x v="0"/>
  </r>
  <r>
    <x v="6"/>
    <x v="0"/>
    <x v="3"/>
    <x v="3"/>
    <x v="0"/>
  </r>
  <r>
    <x v="6"/>
    <x v="0"/>
    <x v="4"/>
    <x v="3"/>
    <x v="0"/>
  </r>
  <r>
    <x v="6"/>
    <x v="0"/>
    <x v="2"/>
    <x v="3"/>
    <x v="0"/>
  </r>
  <r>
    <x v="6"/>
    <x v="0"/>
    <x v="1"/>
    <x v="89"/>
    <x v="0"/>
  </r>
</pivotCacheRecords>
</file>

<file path=xl/pivotCache/pivotCacheRecords2.xml><?xml version="1.0" encoding="utf-8"?>
<pivotCacheRecords xmlns="http://schemas.openxmlformats.org/spreadsheetml/2006/main" xmlns:r="http://schemas.openxmlformats.org/officeDocument/2006/relationships" count="340">
  <r>
    <x v="0"/>
    <x v="1"/>
    <x v="0"/>
    <x v="5"/>
    <x v="0"/>
  </r>
  <r>
    <x v="0"/>
    <x v="1"/>
    <x v="3"/>
    <x v="3"/>
    <x v="0"/>
  </r>
  <r>
    <x v="0"/>
    <x v="1"/>
    <x v="4"/>
    <x v="93"/>
    <x v="0"/>
  </r>
  <r>
    <x v="0"/>
    <x v="1"/>
    <x v="2"/>
    <x v="117"/>
    <x v="0"/>
  </r>
  <r>
    <x v="0"/>
    <x v="1"/>
    <x v="1"/>
    <x v="150"/>
    <x v="0"/>
  </r>
  <r>
    <x v="0"/>
    <x v="0"/>
    <x v="0"/>
    <x v="3"/>
    <x v="0"/>
  </r>
  <r>
    <x v="0"/>
    <x v="0"/>
    <x v="3"/>
    <x v="3"/>
    <x v="0"/>
  </r>
  <r>
    <x v="0"/>
    <x v="0"/>
    <x v="4"/>
    <x v="82"/>
    <x v="0"/>
  </r>
  <r>
    <x v="0"/>
    <x v="0"/>
    <x v="2"/>
    <x v="90"/>
    <x v="0"/>
  </r>
  <r>
    <x v="0"/>
    <x v="0"/>
    <x v="1"/>
    <x v="122"/>
    <x v="0"/>
  </r>
  <r>
    <x v="3"/>
    <x v="1"/>
    <x v="0"/>
    <x v="196"/>
    <x v="0"/>
  </r>
  <r>
    <x v="3"/>
    <x v="1"/>
    <x v="3"/>
    <x v="98"/>
    <x v="0"/>
  </r>
  <r>
    <x v="3"/>
    <x v="1"/>
    <x v="4"/>
    <x v="198"/>
    <x v="0"/>
  </r>
  <r>
    <x v="3"/>
    <x v="1"/>
    <x v="2"/>
    <x v="227"/>
    <x v="0"/>
  </r>
  <r>
    <x v="3"/>
    <x v="1"/>
    <x v="1"/>
    <x v="257"/>
    <x v="0"/>
  </r>
  <r>
    <x v="3"/>
    <x v="0"/>
    <x v="0"/>
    <x v="217"/>
    <x v="0"/>
  </r>
  <r>
    <x v="3"/>
    <x v="0"/>
    <x v="3"/>
    <x v="78"/>
    <x v="0"/>
  </r>
  <r>
    <x v="3"/>
    <x v="0"/>
    <x v="4"/>
    <x v="193"/>
    <x v="0"/>
  </r>
  <r>
    <x v="3"/>
    <x v="0"/>
    <x v="2"/>
    <x v="204"/>
    <x v="0"/>
  </r>
  <r>
    <x v="3"/>
    <x v="0"/>
    <x v="1"/>
    <x v="255"/>
    <x v="0"/>
  </r>
  <r>
    <x v="5"/>
    <x v="1"/>
    <x v="0"/>
    <x v="95"/>
    <x v="0"/>
  </r>
  <r>
    <x v="5"/>
    <x v="1"/>
    <x v="3"/>
    <x v="79"/>
    <x v="0"/>
  </r>
  <r>
    <x v="5"/>
    <x v="1"/>
    <x v="4"/>
    <x v="181"/>
    <x v="0"/>
  </r>
  <r>
    <x v="5"/>
    <x v="1"/>
    <x v="2"/>
    <x v="87"/>
    <x v="0"/>
  </r>
  <r>
    <x v="5"/>
    <x v="1"/>
    <x v="1"/>
    <x v="213"/>
    <x v="0"/>
  </r>
  <r>
    <x v="5"/>
    <x v="0"/>
    <x v="0"/>
    <x v="103"/>
    <x v="0"/>
  </r>
  <r>
    <x v="5"/>
    <x v="0"/>
    <x v="3"/>
    <x v="59"/>
    <x v="0"/>
  </r>
  <r>
    <x v="5"/>
    <x v="0"/>
    <x v="4"/>
    <x v="171"/>
    <x v="0"/>
  </r>
  <r>
    <x v="5"/>
    <x v="0"/>
    <x v="2"/>
    <x v="102"/>
    <x v="0"/>
  </r>
  <r>
    <x v="5"/>
    <x v="0"/>
    <x v="1"/>
    <x v="208"/>
    <x v="0"/>
  </r>
  <r>
    <x v="8"/>
    <x v="1"/>
    <x v="0"/>
    <x v="86"/>
    <x v="0"/>
  </r>
  <r>
    <x v="8"/>
    <x v="1"/>
    <x v="3"/>
    <x v="52"/>
    <x v="0"/>
  </r>
  <r>
    <x v="8"/>
    <x v="1"/>
    <x v="4"/>
    <x v="118"/>
    <x v="0"/>
  </r>
  <r>
    <x v="8"/>
    <x v="1"/>
    <x v="2"/>
    <x v="125"/>
    <x v="0"/>
  </r>
  <r>
    <x v="8"/>
    <x v="1"/>
    <x v="1"/>
    <x v="188"/>
    <x v="0"/>
  </r>
  <r>
    <x v="8"/>
    <x v="0"/>
    <x v="0"/>
    <x v="114"/>
    <x v="0"/>
  </r>
  <r>
    <x v="8"/>
    <x v="0"/>
    <x v="3"/>
    <x v="51"/>
    <x v="0"/>
  </r>
  <r>
    <x v="8"/>
    <x v="0"/>
    <x v="4"/>
    <x v="111"/>
    <x v="0"/>
  </r>
  <r>
    <x v="8"/>
    <x v="0"/>
    <x v="2"/>
    <x v="145"/>
    <x v="0"/>
  </r>
  <r>
    <x v="8"/>
    <x v="0"/>
    <x v="1"/>
    <x v="203"/>
    <x v="0"/>
  </r>
  <r>
    <x v="9"/>
    <x v="1"/>
    <x v="0"/>
    <x v="97"/>
    <x v="0"/>
  </r>
  <r>
    <x v="9"/>
    <x v="1"/>
    <x v="3"/>
    <x v="58"/>
    <x v="0"/>
  </r>
  <r>
    <x v="9"/>
    <x v="1"/>
    <x v="4"/>
    <x v="189"/>
    <x v="0"/>
  </r>
  <r>
    <x v="9"/>
    <x v="1"/>
    <x v="2"/>
    <x v="133"/>
    <x v="0"/>
  </r>
  <r>
    <x v="9"/>
    <x v="1"/>
    <x v="1"/>
    <x v="231"/>
    <x v="0"/>
  </r>
  <r>
    <x v="9"/>
    <x v="0"/>
    <x v="0"/>
    <x v="136"/>
    <x v="0"/>
  </r>
  <r>
    <x v="9"/>
    <x v="0"/>
    <x v="3"/>
    <x v="53"/>
    <x v="0"/>
  </r>
  <r>
    <x v="9"/>
    <x v="0"/>
    <x v="4"/>
    <x v="186"/>
    <x v="0"/>
  </r>
  <r>
    <x v="9"/>
    <x v="0"/>
    <x v="2"/>
    <x v="128"/>
    <x v="0"/>
  </r>
  <r>
    <x v="9"/>
    <x v="0"/>
    <x v="1"/>
    <x v="234"/>
    <x v="0"/>
  </r>
  <r>
    <x v="10"/>
    <x v="1"/>
    <x v="0"/>
    <x v="162"/>
    <x v="0"/>
  </r>
  <r>
    <x v="10"/>
    <x v="1"/>
    <x v="3"/>
    <x v="71"/>
    <x v="0"/>
  </r>
  <r>
    <x v="10"/>
    <x v="1"/>
    <x v="4"/>
    <x v="149"/>
    <x v="0"/>
  </r>
  <r>
    <x v="10"/>
    <x v="1"/>
    <x v="2"/>
    <x v="218"/>
    <x v="0"/>
  </r>
  <r>
    <x v="10"/>
    <x v="1"/>
    <x v="1"/>
    <x v="251"/>
    <x v="0"/>
  </r>
  <r>
    <x v="10"/>
    <x v="0"/>
    <x v="0"/>
    <x v="191"/>
    <x v="0"/>
  </r>
  <r>
    <x v="10"/>
    <x v="0"/>
    <x v="3"/>
    <x v="60"/>
    <x v="0"/>
  </r>
  <r>
    <x v="10"/>
    <x v="0"/>
    <x v="4"/>
    <x v="130"/>
    <x v="0"/>
  </r>
  <r>
    <x v="10"/>
    <x v="0"/>
    <x v="2"/>
    <x v="197"/>
    <x v="0"/>
  </r>
  <r>
    <x v="10"/>
    <x v="0"/>
    <x v="1"/>
    <x v="250"/>
    <x v="0"/>
  </r>
  <r>
    <x v="11"/>
    <x v="1"/>
    <x v="0"/>
    <x v="194"/>
    <x v="0"/>
  </r>
  <r>
    <x v="11"/>
    <x v="1"/>
    <x v="3"/>
    <x v="132"/>
    <x v="0"/>
  </r>
  <r>
    <x v="11"/>
    <x v="1"/>
    <x v="4"/>
    <x v="229"/>
    <x v="0"/>
  </r>
  <r>
    <x v="11"/>
    <x v="1"/>
    <x v="2"/>
    <x v="245"/>
    <x v="0"/>
  </r>
  <r>
    <x v="11"/>
    <x v="1"/>
    <x v="1"/>
    <x v="263"/>
    <x v="0"/>
  </r>
  <r>
    <x v="11"/>
    <x v="0"/>
    <x v="0"/>
    <x v="225"/>
    <x v="0"/>
  </r>
  <r>
    <x v="11"/>
    <x v="0"/>
    <x v="3"/>
    <x v="120"/>
    <x v="0"/>
  </r>
  <r>
    <x v="11"/>
    <x v="0"/>
    <x v="4"/>
    <x v="222"/>
    <x v="0"/>
  </r>
  <r>
    <x v="11"/>
    <x v="0"/>
    <x v="2"/>
    <x v="240"/>
    <x v="0"/>
  </r>
  <r>
    <x v="11"/>
    <x v="0"/>
    <x v="1"/>
    <x v="261"/>
    <x v="0"/>
  </r>
  <r>
    <x v="12"/>
    <x v="1"/>
    <x v="0"/>
    <x v="119"/>
    <x v="0"/>
  </r>
  <r>
    <x v="12"/>
    <x v="1"/>
    <x v="3"/>
    <x v="72"/>
    <x v="0"/>
  </r>
  <r>
    <x v="12"/>
    <x v="1"/>
    <x v="4"/>
    <x v="174"/>
    <x v="0"/>
  </r>
  <r>
    <x v="12"/>
    <x v="1"/>
    <x v="2"/>
    <x v="94"/>
    <x v="0"/>
  </r>
  <r>
    <x v="12"/>
    <x v="1"/>
    <x v="1"/>
    <x v="224"/>
    <x v="0"/>
  </r>
  <r>
    <x v="12"/>
    <x v="0"/>
    <x v="0"/>
    <x v="139"/>
    <x v="0"/>
  </r>
  <r>
    <x v="12"/>
    <x v="0"/>
    <x v="3"/>
    <x v="67"/>
    <x v="0"/>
  </r>
  <r>
    <x v="12"/>
    <x v="0"/>
    <x v="4"/>
    <x v="159"/>
    <x v="0"/>
  </r>
  <r>
    <x v="12"/>
    <x v="0"/>
    <x v="2"/>
    <x v="75"/>
    <x v="0"/>
  </r>
  <r>
    <x v="12"/>
    <x v="0"/>
    <x v="1"/>
    <x v="219"/>
    <x v="0"/>
  </r>
  <r>
    <x v="13"/>
    <x v="1"/>
    <x v="0"/>
    <x v="161"/>
    <x v="0"/>
  </r>
  <r>
    <x v="13"/>
    <x v="1"/>
    <x v="3"/>
    <x v="70"/>
    <x v="0"/>
  </r>
  <r>
    <x v="13"/>
    <x v="1"/>
    <x v="4"/>
    <x v="156"/>
    <x v="0"/>
  </r>
  <r>
    <x v="13"/>
    <x v="1"/>
    <x v="2"/>
    <x v="210"/>
    <x v="0"/>
  </r>
  <r>
    <x v="13"/>
    <x v="1"/>
    <x v="1"/>
    <x v="248"/>
    <x v="0"/>
  </r>
  <r>
    <x v="13"/>
    <x v="0"/>
    <x v="0"/>
    <x v="192"/>
    <x v="0"/>
  </r>
  <r>
    <x v="13"/>
    <x v="0"/>
    <x v="3"/>
    <x v="61"/>
    <x v="0"/>
  </r>
  <r>
    <x v="13"/>
    <x v="0"/>
    <x v="4"/>
    <x v="155"/>
    <x v="0"/>
  </r>
  <r>
    <x v="13"/>
    <x v="0"/>
    <x v="2"/>
    <x v="169"/>
    <x v="0"/>
  </r>
  <r>
    <x v="13"/>
    <x v="0"/>
    <x v="1"/>
    <x v="246"/>
    <x v="0"/>
  </r>
  <r>
    <x v="14"/>
    <x v="1"/>
    <x v="0"/>
    <x v="3"/>
    <x v="0"/>
  </r>
  <r>
    <x v="14"/>
    <x v="1"/>
    <x v="3"/>
    <x v="3"/>
    <x v="0"/>
  </r>
  <r>
    <x v="14"/>
    <x v="1"/>
    <x v="4"/>
    <x v="16"/>
    <x v="0"/>
  </r>
  <r>
    <x v="14"/>
    <x v="1"/>
    <x v="2"/>
    <x v="4"/>
    <x v="0"/>
  </r>
  <r>
    <x v="14"/>
    <x v="1"/>
    <x v="1"/>
    <x v="26"/>
    <x v="0"/>
  </r>
  <r>
    <x v="14"/>
    <x v="0"/>
    <x v="0"/>
    <x v="3"/>
    <x v="0"/>
  </r>
  <r>
    <x v="14"/>
    <x v="0"/>
    <x v="3"/>
    <x v="3"/>
    <x v="0"/>
  </r>
  <r>
    <x v="14"/>
    <x v="0"/>
    <x v="4"/>
    <x v="3"/>
    <x v="0"/>
  </r>
  <r>
    <x v="14"/>
    <x v="0"/>
    <x v="2"/>
    <x v="3"/>
    <x v="0"/>
  </r>
  <r>
    <x v="14"/>
    <x v="0"/>
    <x v="1"/>
    <x v="153"/>
    <x v="0"/>
  </r>
  <r>
    <x v="15"/>
    <x v="1"/>
    <x v="0"/>
    <x v="41"/>
    <x v="0"/>
  </r>
  <r>
    <x v="15"/>
    <x v="1"/>
    <x v="3"/>
    <x v="18"/>
    <x v="0"/>
  </r>
  <r>
    <x v="15"/>
    <x v="1"/>
    <x v="4"/>
    <x v="129"/>
    <x v="0"/>
  </r>
  <r>
    <x v="15"/>
    <x v="1"/>
    <x v="2"/>
    <x v="84"/>
    <x v="0"/>
  </r>
  <r>
    <x v="15"/>
    <x v="1"/>
    <x v="1"/>
    <x v="154"/>
    <x v="0"/>
  </r>
  <r>
    <x v="15"/>
    <x v="0"/>
    <x v="0"/>
    <x v="34"/>
    <x v="0"/>
  </r>
  <r>
    <x v="15"/>
    <x v="0"/>
    <x v="3"/>
    <x v="22"/>
    <x v="0"/>
  </r>
  <r>
    <x v="15"/>
    <x v="0"/>
    <x v="4"/>
    <x v="104"/>
    <x v="0"/>
  </r>
  <r>
    <x v="15"/>
    <x v="0"/>
    <x v="2"/>
    <x v="81"/>
    <x v="0"/>
  </r>
  <r>
    <x v="15"/>
    <x v="0"/>
    <x v="1"/>
    <x v="141"/>
    <x v="0"/>
  </r>
  <r>
    <x v="16"/>
    <x v="1"/>
    <x v="0"/>
    <x v="69"/>
    <x v="0"/>
  </r>
  <r>
    <x v="16"/>
    <x v="1"/>
    <x v="3"/>
    <x v="24"/>
    <x v="0"/>
  </r>
  <r>
    <x v="16"/>
    <x v="1"/>
    <x v="4"/>
    <x v="109"/>
    <x v="0"/>
  </r>
  <r>
    <x v="16"/>
    <x v="1"/>
    <x v="2"/>
    <x v="113"/>
    <x v="0"/>
  </r>
  <r>
    <x v="16"/>
    <x v="1"/>
    <x v="1"/>
    <x v="165"/>
    <x v="0"/>
  </r>
  <r>
    <x v="16"/>
    <x v="0"/>
    <x v="0"/>
    <x v="73"/>
    <x v="0"/>
  </r>
  <r>
    <x v="16"/>
    <x v="0"/>
    <x v="3"/>
    <x v="21"/>
    <x v="0"/>
  </r>
  <r>
    <x v="16"/>
    <x v="0"/>
    <x v="4"/>
    <x v="115"/>
    <x v="0"/>
  </r>
  <r>
    <x v="16"/>
    <x v="0"/>
    <x v="2"/>
    <x v="100"/>
    <x v="0"/>
  </r>
  <r>
    <x v="16"/>
    <x v="0"/>
    <x v="1"/>
    <x v="166"/>
    <x v="0"/>
  </r>
  <r>
    <x v="19"/>
    <x v="1"/>
    <x v="0"/>
    <x v="146"/>
    <x v="0"/>
  </r>
  <r>
    <x v="19"/>
    <x v="1"/>
    <x v="3"/>
    <x v="62"/>
    <x v="0"/>
  </r>
  <r>
    <x v="19"/>
    <x v="1"/>
    <x v="4"/>
    <x v="184"/>
    <x v="0"/>
  </r>
  <r>
    <x v="19"/>
    <x v="1"/>
    <x v="2"/>
    <x v="202"/>
    <x v="0"/>
  </r>
  <r>
    <x v="19"/>
    <x v="1"/>
    <x v="1"/>
    <x v="249"/>
    <x v="0"/>
  </r>
  <r>
    <x v="19"/>
    <x v="0"/>
    <x v="0"/>
    <x v="151"/>
    <x v="0"/>
  </r>
  <r>
    <x v="19"/>
    <x v="0"/>
    <x v="3"/>
    <x v="50"/>
    <x v="0"/>
  </r>
  <r>
    <x v="19"/>
    <x v="0"/>
    <x v="4"/>
    <x v="177"/>
    <x v="0"/>
  </r>
  <r>
    <x v="19"/>
    <x v="0"/>
    <x v="2"/>
    <x v="200"/>
    <x v="0"/>
  </r>
  <r>
    <x v="19"/>
    <x v="0"/>
    <x v="1"/>
    <x v="247"/>
    <x v="0"/>
  </r>
  <r>
    <x v="20"/>
    <x v="1"/>
    <x v="0"/>
    <x v="1"/>
    <x v="0"/>
  </r>
  <r>
    <x v="20"/>
    <x v="1"/>
    <x v="3"/>
    <x v="3"/>
    <x v="0"/>
  </r>
  <r>
    <x v="20"/>
    <x v="1"/>
    <x v="4"/>
    <x v="15"/>
    <x v="0"/>
  </r>
  <r>
    <x v="20"/>
    <x v="1"/>
    <x v="2"/>
    <x v="38"/>
    <x v="0"/>
  </r>
  <r>
    <x v="20"/>
    <x v="1"/>
    <x v="1"/>
    <x v="43"/>
    <x v="0"/>
  </r>
  <r>
    <x v="20"/>
    <x v="0"/>
    <x v="0"/>
    <x v="2"/>
    <x v="0"/>
  </r>
  <r>
    <x v="20"/>
    <x v="0"/>
    <x v="3"/>
    <x v="3"/>
    <x v="0"/>
  </r>
  <r>
    <x v="20"/>
    <x v="0"/>
    <x v="4"/>
    <x v="6"/>
    <x v="0"/>
  </r>
  <r>
    <x v="20"/>
    <x v="0"/>
    <x v="2"/>
    <x v="54"/>
    <x v="0"/>
  </r>
  <r>
    <x v="20"/>
    <x v="0"/>
    <x v="1"/>
    <x v="55"/>
    <x v="0"/>
  </r>
  <r>
    <x v="22"/>
    <x v="1"/>
    <x v="0"/>
    <x v="9"/>
    <x v="0"/>
  </r>
  <r>
    <x v="22"/>
    <x v="1"/>
    <x v="3"/>
    <x v="3"/>
    <x v="0"/>
  </r>
  <r>
    <x v="22"/>
    <x v="1"/>
    <x v="4"/>
    <x v="27"/>
    <x v="0"/>
  </r>
  <r>
    <x v="22"/>
    <x v="1"/>
    <x v="2"/>
    <x v="10"/>
    <x v="0"/>
  </r>
  <r>
    <x v="22"/>
    <x v="1"/>
    <x v="1"/>
    <x v="35"/>
    <x v="0"/>
  </r>
  <r>
    <x v="22"/>
    <x v="0"/>
    <x v="0"/>
    <x v="13"/>
    <x v="0"/>
  </r>
  <r>
    <x v="22"/>
    <x v="0"/>
    <x v="3"/>
    <x v="0"/>
    <x v="0"/>
  </r>
  <r>
    <x v="22"/>
    <x v="0"/>
    <x v="4"/>
    <x v="19"/>
    <x v="0"/>
  </r>
  <r>
    <x v="22"/>
    <x v="0"/>
    <x v="2"/>
    <x v="8"/>
    <x v="0"/>
  </r>
  <r>
    <x v="22"/>
    <x v="0"/>
    <x v="1"/>
    <x v="44"/>
    <x v="0"/>
  </r>
  <r>
    <x v="23"/>
    <x v="1"/>
    <x v="0"/>
    <x v="76"/>
    <x v="0"/>
  </r>
  <r>
    <x v="23"/>
    <x v="1"/>
    <x v="3"/>
    <x v="37"/>
    <x v="0"/>
  </r>
  <r>
    <x v="23"/>
    <x v="1"/>
    <x v="4"/>
    <x v="137"/>
    <x v="0"/>
  </r>
  <r>
    <x v="23"/>
    <x v="1"/>
    <x v="2"/>
    <x v="143"/>
    <x v="0"/>
  </r>
  <r>
    <x v="23"/>
    <x v="1"/>
    <x v="1"/>
    <x v="195"/>
    <x v="0"/>
  </r>
  <r>
    <x v="23"/>
    <x v="0"/>
    <x v="0"/>
    <x v="92"/>
    <x v="0"/>
  </r>
  <r>
    <x v="23"/>
    <x v="0"/>
    <x v="3"/>
    <x v="31"/>
    <x v="0"/>
  </r>
  <r>
    <x v="23"/>
    <x v="0"/>
    <x v="4"/>
    <x v="123"/>
    <x v="0"/>
  </r>
  <r>
    <x v="23"/>
    <x v="0"/>
    <x v="2"/>
    <x v="138"/>
    <x v="0"/>
  </r>
  <r>
    <x v="23"/>
    <x v="0"/>
    <x v="1"/>
    <x v="190"/>
    <x v="0"/>
  </r>
  <r>
    <x v="24"/>
    <x v="1"/>
    <x v="0"/>
    <x v="126"/>
    <x v="0"/>
  </r>
  <r>
    <x v="24"/>
    <x v="1"/>
    <x v="3"/>
    <x v="56"/>
    <x v="0"/>
  </r>
  <r>
    <x v="24"/>
    <x v="1"/>
    <x v="4"/>
    <x v="170"/>
    <x v="0"/>
  </r>
  <r>
    <x v="24"/>
    <x v="1"/>
    <x v="2"/>
    <x v="187"/>
    <x v="0"/>
  </r>
  <r>
    <x v="24"/>
    <x v="1"/>
    <x v="1"/>
    <x v="244"/>
    <x v="0"/>
  </r>
  <r>
    <x v="24"/>
    <x v="0"/>
    <x v="0"/>
    <x v="158"/>
    <x v="0"/>
  </r>
  <r>
    <x v="24"/>
    <x v="0"/>
    <x v="3"/>
    <x v="49"/>
    <x v="0"/>
  </r>
  <r>
    <x v="24"/>
    <x v="0"/>
    <x v="4"/>
    <x v="168"/>
    <x v="0"/>
  </r>
  <r>
    <x v="24"/>
    <x v="0"/>
    <x v="2"/>
    <x v="180"/>
    <x v="0"/>
  </r>
  <r>
    <x v="24"/>
    <x v="0"/>
    <x v="1"/>
    <x v="243"/>
    <x v="0"/>
  </r>
  <r>
    <x v="25"/>
    <x v="1"/>
    <x v="0"/>
    <x v="28"/>
    <x v="0"/>
  </r>
  <r>
    <x v="25"/>
    <x v="1"/>
    <x v="3"/>
    <x v="12"/>
    <x v="0"/>
  </r>
  <r>
    <x v="25"/>
    <x v="1"/>
    <x v="4"/>
    <x v="160"/>
    <x v="0"/>
  </r>
  <r>
    <x v="25"/>
    <x v="1"/>
    <x v="2"/>
    <x v="23"/>
    <x v="0"/>
  </r>
  <r>
    <x v="25"/>
    <x v="1"/>
    <x v="1"/>
    <x v="164"/>
    <x v="0"/>
  </r>
  <r>
    <x v="25"/>
    <x v="0"/>
    <x v="0"/>
    <x v="40"/>
    <x v="0"/>
  </r>
  <r>
    <x v="25"/>
    <x v="0"/>
    <x v="3"/>
    <x v="7"/>
    <x v="0"/>
  </r>
  <r>
    <x v="25"/>
    <x v="0"/>
    <x v="4"/>
    <x v="144"/>
    <x v="0"/>
  </r>
  <r>
    <x v="25"/>
    <x v="0"/>
    <x v="2"/>
    <x v="11"/>
    <x v="0"/>
  </r>
  <r>
    <x v="25"/>
    <x v="0"/>
    <x v="1"/>
    <x v="152"/>
    <x v="0"/>
  </r>
  <r>
    <x v="27"/>
    <x v="1"/>
    <x v="0"/>
    <x v="172"/>
    <x v="0"/>
  </r>
  <r>
    <x v="27"/>
    <x v="1"/>
    <x v="3"/>
    <x v="106"/>
    <x v="0"/>
  </r>
  <r>
    <x v="27"/>
    <x v="1"/>
    <x v="4"/>
    <x v="223"/>
    <x v="0"/>
  </r>
  <r>
    <x v="27"/>
    <x v="1"/>
    <x v="2"/>
    <x v="233"/>
    <x v="0"/>
  </r>
  <r>
    <x v="27"/>
    <x v="1"/>
    <x v="1"/>
    <x v="259"/>
    <x v="0"/>
  </r>
  <r>
    <x v="27"/>
    <x v="0"/>
    <x v="0"/>
    <x v="179"/>
    <x v="0"/>
  </r>
  <r>
    <x v="27"/>
    <x v="0"/>
    <x v="3"/>
    <x v="101"/>
    <x v="0"/>
  </r>
  <r>
    <x v="27"/>
    <x v="0"/>
    <x v="4"/>
    <x v="206"/>
    <x v="0"/>
  </r>
  <r>
    <x v="27"/>
    <x v="0"/>
    <x v="2"/>
    <x v="173"/>
    <x v="0"/>
  </r>
  <r>
    <x v="27"/>
    <x v="0"/>
    <x v="1"/>
    <x v="252"/>
    <x v="0"/>
  </r>
  <r>
    <x v="28"/>
    <x v="1"/>
    <x v="0"/>
    <x v="215"/>
    <x v="0"/>
  </r>
  <r>
    <x v="28"/>
    <x v="1"/>
    <x v="3"/>
    <x v="131"/>
    <x v="0"/>
  </r>
  <r>
    <x v="28"/>
    <x v="1"/>
    <x v="4"/>
    <x v="230"/>
    <x v="0"/>
  </r>
  <r>
    <x v="28"/>
    <x v="1"/>
    <x v="2"/>
    <x v="262"/>
    <x v="0"/>
  </r>
  <r>
    <x v="28"/>
    <x v="1"/>
    <x v="1"/>
    <x v="265"/>
    <x v="0"/>
  </r>
  <r>
    <x v="28"/>
    <x v="0"/>
    <x v="0"/>
    <x v="238"/>
    <x v="0"/>
  </r>
  <r>
    <x v="28"/>
    <x v="0"/>
    <x v="3"/>
    <x v="110"/>
    <x v="0"/>
  </r>
  <r>
    <x v="28"/>
    <x v="0"/>
    <x v="4"/>
    <x v="220"/>
    <x v="0"/>
  </r>
  <r>
    <x v="28"/>
    <x v="0"/>
    <x v="2"/>
    <x v="260"/>
    <x v="0"/>
  </r>
  <r>
    <x v="28"/>
    <x v="0"/>
    <x v="1"/>
    <x v="264"/>
    <x v="0"/>
  </r>
  <r>
    <x v="29"/>
    <x v="1"/>
    <x v="0"/>
    <x v="134"/>
    <x v="0"/>
  </r>
  <r>
    <x v="29"/>
    <x v="1"/>
    <x v="3"/>
    <x v="91"/>
    <x v="0"/>
  </r>
  <r>
    <x v="29"/>
    <x v="1"/>
    <x v="4"/>
    <x v="157"/>
    <x v="0"/>
  </r>
  <r>
    <x v="29"/>
    <x v="1"/>
    <x v="2"/>
    <x v="228"/>
    <x v="0"/>
  </r>
  <r>
    <x v="29"/>
    <x v="1"/>
    <x v="1"/>
    <x v="258"/>
    <x v="0"/>
  </r>
  <r>
    <x v="29"/>
    <x v="0"/>
    <x v="0"/>
    <x v="163"/>
    <x v="0"/>
  </r>
  <r>
    <x v="29"/>
    <x v="0"/>
    <x v="3"/>
    <x v="77"/>
    <x v="0"/>
  </r>
  <r>
    <x v="29"/>
    <x v="0"/>
    <x v="4"/>
    <x v="167"/>
    <x v="0"/>
  </r>
  <r>
    <x v="29"/>
    <x v="0"/>
    <x v="2"/>
    <x v="236"/>
    <x v="0"/>
  </r>
  <r>
    <x v="29"/>
    <x v="0"/>
    <x v="1"/>
    <x v="256"/>
    <x v="0"/>
  </r>
  <r>
    <x v="30"/>
    <x v="1"/>
    <x v="0"/>
    <x v="121"/>
    <x v="0"/>
  </r>
  <r>
    <x v="30"/>
    <x v="1"/>
    <x v="3"/>
    <x v="65"/>
    <x v="0"/>
  </r>
  <r>
    <x v="30"/>
    <x v="1"/>
    <x v="4"/>
    <x v="216"/>
    <x v="0"/>
  </r>
  <r>
    <x v="30"/>
    <x v="1"/>
    <x v="2"/>
    <x v="226"/>
    <x v="0"/>
  </r>
  <r>
    <x v="30"/>
    <x v="1"/>
    <x v="1"/>
    <x v="254"/>
    <x v="0"/>
  </r>
  <r>
    <x v="30"/>
    <x v="0"/>
    <x v="0"/>
    <x v="142"/>
    <x v="0"/>
  </r>
  <r>
    <x v="30"/>
    <x v="0"/>
    <x v="3"/>
    <x v="63"/>
    <x v="0"/>
  </r>
  <r>
    <x v="30"/>
    <x v="0"/>
    <x v="4"/>
    <x v="214"/>
    <x v="0"/>
  </r>
  <r>
    <x v="30"/>
    <x v="0"/>
    <x v="2"/>
    <x v="221"/>
    <x v="0"/>
  </r>
  <r>
    <x v="30"/>
    <x v="0"/>
    <x v="1"/>
    <x v="253"/>
    <x v="0"/>
  </r>
  <r>
    <x v="31"/>
    <x v="1"/>
    <x v="0"/>
    <x v="68"/>
    <x v="0"/>
  </r>
  <r>
    <x v="31"/>
    <x v="1"/>
    <x v="3"/>
    <x v="42"/>
    <x v="0"/>
  </r>
  <r>
    <x v="31"/>
    <x v="1"/>
    <x v="4"/>
    <x v="176"/>
    <x v="0"/>
  </r>
  <r>
    <x v="31"/>
    <x v="1"/>
    <x v="2"/>
    <x v="112"/>
    <x v="0"/>
  </r>
  <r>
    <x v="31"/>
    <x v="1"/>
    <x v="1"/>
    <x v="207"/>
    <x v="0"/>
  </r>
  <r>
    <x v="31"/>
    <x v="0"/>
    <x v="0"/>
    <x v="99"/>
    <x v="0"/>
  </r>
  <r>
    <x v="31"/>
    <x v="0"/>
    <x v="3"/>
    <x v="30"/>
    <x v="0"/>
  </r>
  <r>
    <x v="31"/>
    <x v="0"/>
    <x v="4"/>
    <x v="116"/>
    <x v="0"/>
  </r>
  <r>
    <x v="31"/>
    <x v="0"/>
    <x v="2"/>
    <x v="107"/>
    <x v="0"/>
  </r>
  <r>
    <x v="31"/>
    <x v="0"/>
    <x v="1"/>
    <x v="182"/>
    <x v="0"/>
  </r>
  <r>
    <x v="32"/>
    <x v="1"/>
    <x v="0"/>
    <x v="32"/>
    <x v="0"/>
  </r>
  <r>
    <x v="32"/>
    <x v="1"/>
    <x v="3"/>
    <x v="5"/>
    <x v="0"/>
  </r>
  <r>
    <x v="32"/>
    <x v="1"/>
    <x v="4"/>
    <x v="74"/>
    <x v="0"/>
  </r>
  <r>
    <x v="32"/>
    <x v="1"/>
    <x v="2"/>
    <x v="64"/>
    <x v="0"/>
  </r>
  <r>
    <x v="32"/>
    <x v="1"/>
    <x v="1"/>
    <x v="108"/>
    <x v="0"/>
  </r>
  <r>
    <x v="32"/>
    <x v="0"/>
    <x v="0"/>
    <x v="39"/>
    <x v="0"/>
  </r>
  <r>
    <x v="32"/>
    <x v="0"/>
    <x v="3"/>
    <x v="3"/>
    <x v="0"/>
  </r>
  <r>
    <x v="32"/>
    <x v="0"/>
    <x v="4"/>
    <x v="66"/>
    <x v="0"/>
  </r>
  <r>
    <x v="32"/>
    <x v="0"/>
    <x v="2"/>
    <x v="57"/>
    <x v="0"/>
  </r>
  <r>
    <x v="32"/>
    <x v="0"/>
    <x v="1"/>
    <x v="88"/>
    <x v="0"/>
  </r>
  <r>
    <x v="33"/>
    <x v="1"/>
    <x v="0"/>
    <x v="48"/>
    <x v="0"/>
  </r>
  <r>
    <x v="33"/>
    <x v="1"/>
    <x v="3"/>
    <x v="46"/>
    <x v="0"/>
  </r>
  <r>
    <x v="33"/>
    <x v="1"/>
    <x v="4"/>
    <x v="83"/>
    <x v="0"/>
  </r>
  <r>
    <x v="33"/>
    <x v="1"/>
    <x v="2"/>
    <x v="80"/>
    <x v="0"/>
  </r>
  <r>
    <x v="33"/>
    <x v="1"/>
    <x v="1"/>
    <x v="135"/>
    <x v="0"/>
  </r>
  <r>
    <x v="33"/>
    <x v="0"/>
    <x v="0"/>
    <x v="29"/>
    <x v="0"/>
  </r>
  <r>
    <x v="33"/>
    <x v="0"/>
    <x v="3"/>
    <x v="14"/>
    <x v="0"/>
  </r>
  <r>
    <x v="33"/>
    <x v="0"/>
    <x v="4"/>
    <x v="85"/>
    <x v="0"/>
  </r>
  <r>
    <x v="33"/>
    <x v="0"/>
    <x v="2"/>
    <x v="105"/>
    <x v="0"/>
  </r>
  <r>
    <x v="33"/>
    <x v="0"/>
    <x v="1"/>
    <x v="140"/>
    <x v="0"/>
  </r>
  <r>
    <x v="21"/>
    <x v="1"/>
    <x v="0"/>
    <x v="3"/>
    <x v="0"/>
  </r>
  <r>
    <x v="21"/>
    <x v="1"/>
    <x v="3"/>
    <x v="3"/>
    <x v="0"/>
  </r>
  <r>
    <x v="21"/>
    <x v="1"/>
    <x v="4"/>
    <x v="3"/>
    <x v="0"/>
  </r>
  <r>
    <x v="21"/>
    <x v="1"/>
    <x v="2"/>
    <x v="199"/>
    <x v="0"/>
  </r>
  <r>
    <x v="21"/>
    <x v="1"/>
    <x v="1"/>
    <x v="201"/>
    <x v="0"/>
  </r>
  <r>
    <x v="21"/>
    <x v="0"/>
    <x v="0"/>
    <x v="3"/>
    <x v="0"/>
  </r>
  <r>
    <x v="21"/>
    <x v="0"/>
    <x v="3"/>
    <x v="3"/>
    <x v="0"/>
  </r>
  <r>
    <x v="21"/>
    <x v="0"/>
    <x v="4"/>
    <x v="3"/>
    <x v="0"/>
  </r>
  <r>
    <x v="21"/>
    <x v="0"/>
    <x v="2"/>
    <x v="183"/>
    <x v="0"/>
  </r>
  <r>
    <x v="21"/>
    <x v="0"/>
    <x v="1"/>
    <x v="185"/>
    <x v="0"/>
  </r>
  <r>
    <x v="1"/>
    <x v="1"/>
    <x v="0"/>
    <x v="3"/>
    <x v="0"/>
  </r>
  <r>
    <x v="1"/>
    <x v="1"/>
    <x v="3"/>
    <x v="3"/>
    <x v="0"/>
  </r>
  <r>
    <x v="1"/>
    <x v="1"/>
    <x v="4"/>
    <x v="3"/>
    <x v="0"/>
  </r>
  <r>
    <x v="1"/>
    <x v="1"/>
    <x v="2"/>
    <x v="205"/>
    <x v="0"/>
  </r>
  <r>
    <x v="1"/>
    <x v="1"/>
    <x v="1"/>
    <x v="212"/>
    <x v="0"/>
  </r>
  <r>
    <x v="1"/>
    <x v="0"/>
    <x v="0"/>
    <x v="3"/>
    <x v="0"/>
  </r>
  <r>
    <x v="1"/>
    <x v="0"/>
    <x v="3"/>
    <x v="3"/>
    <x v="0"/>
  </r>
  <r>
    <x v="1"/>
    <x v="0"/>
    <x v="4"/>
    <x v="3"/>
    <x v="0"/>
  </r>
  <r>
    <x v="1"/>
    <x v="0"/>
    <x v="2"/>
    <x v="175"/>
    <x v="0"/>
  </r>
  <r>
    <x v="1"/>
    <x v="0"/>
    <x v="1"/>
    <x v="178"/>
    <x v="0"/>
  </r>
  <r>
    <x v="4"/>
    <x v="1"/>
    <x v="0"/>
    <x v="3"/>
    <x v="0"/>
  </r>
  <r>
    <x v="4"/>
    <x v="1"/>
    <x v="3"/>
    <x v="3"/>
    <x v="0"/>
  </r>
  <r>
    <x v="4"/>
    <x v="1"/>
    <x v="4"/>
    <x v="3"/>
    <x v="0"/>
  </r>
  <r>
    <x v="4"/>
    <x v="1"/>
    <x v="2"/>
    <x v="232"/>
    <x v="0"/>
  </r>
  <r>
    <x v="4"/>
    <x v="1"/>
    <x v="1"/>
    <x v="235"/>
    <x v="0"/>
  </r>
  <r>
    <x v="4"/>
    <x v="0"/>
    <x v="0"/>
    <x v="3"/>
    <x v="0"/>
  </r>
  <r>
    <x v="4"/>
    <x v="0"/>
    <x v="3"/>
    <x v="3"/>
    <x v="0"/>
  </r>
  <r>
    <x v="4"/>
    <x v="0"/>
    <x v="4"/>
    <x v="3"/>
    <x v="0"/>
  </r>
  <r>
    <x v="4"/>
    <x v="0"/>
    <x v="2"/>
    <x v="209"/>
    <x v="0"/>
  </r>
  <r>
    <x v="4"/>
    <x v="0"/>
    <x v="1"/>
    <x v="211"/>
    <x v="0"/>
  </r>
  <r>
    <x v="7"/>
    <x v="1"/>
    <x v="0"/>
    <x v="3"/>
    <x v="0"/>
  </r>
  <r>
    <x v="7"/>
    <x v="1"/>
    <x v="3"/>
    <x v="3"/>
    <x v="0"/>
  </r>
  <r>
    <x v="7"/>
    <x v="1"/>
    <x v="4"/>
    <x v="3"/>
    <x v="0"/>
  </r>
  <r>
    <x v="7"/>
    <x v="1"/>
    <x v="2"/>
    <x v="33"/>
    <x v="0"/>
  </r>
  <r>
    <x v="7"/>
    <x v="1"/>
    <x v="1"/>
    <x v="36"/>
    <x v="0"/>
  </r>
  <r>
    <x v="7"/>
    <x v="0"/>
    <x v="0"/>
    <x v="3"/>
    <x v="0"/>
  </r>
  <r>
    <x v="7"/>
    <x v="0"/>
    <x v="3"/>
    <x v="3"/>
    <x v="0"/>
  </r>
  <r>
    <x v="7"/>
    <x v="0"/>
    <x v="4"/>
    <x v="3"/>
    <x v="0"/>
  </r>
  <r>
    <x v="7"/>
    <x v="0"/>
    <x v="2"/>
    <x v="17"/>
    <x v="0"/>
  </r>
  <r>
    <x v="7"/>
    <x v="0"/>
    <x v="1"/>
    <x v="20"/>
    <x v="0"/>
  </r>
  <r>
    <x v="17"/>
    <x v="1"/>
    <x v="0"/>
    <x v="3"/>
    <x v="0"/>
  </r>
  <r>
    <x v="17"/>
    <x v="1"/>
    <x v="3"/>
    <x v="3"/>
    <x v="0"/>
  </r>
  <r>
    <x v="17"/>
    <x v="1"/>
    <x v="4"/>
    <x v="3"/>
    <x v="0"/>
  </r>
  <r>
    <x v="17"/>
    <x v="1"/>
    <x v="2"/>
    <x v="147"/>
    <x v="0"/>
  </r>
  <r>
    <x v="17"/>
    <x v="1"/>
    <x v="1"/>
    <x v="148"/>
    <x v="0"/>
  </r>
  <r>
    <x v="17"/>
    <x v="0"/>
    <x v="0"/>
    <x v="3"/>
    <x v="0"/>
  </r>
  <r>
    <x v="17"/>
    <x v="0"/>
    <x v="3"/>
    <x v="3"/>
    <x v="0"/>
  </r>
  <r>
    <x v="17"/>
    <x v="0"/>
    <x v="4"/>
    <x v="3"/>
    <x v="0"/>
  </r>
  <r>
    <x v="17"/>
    <x v="0"/>
    <x v="2"/>
    <x v="124"/>
    <x v="0"/>
  </r>
  <r>
    <x v="17"/>
    <x v="0"/>
    <x v="1"/>
    <x v="127"/>
    <x v="0"/>
  </r>
  <r>
    <x v="18"/>
    <x v="1"/>
    <x v="0"/>
    <x v="3"/>
    <x v="0"/>
  </r>
  <r>
    <x v="18"/>
    <x v="1"/>
    <x v="3"/>
    <x v="3"/>
    <x v="0"/>
  </r>
  <r>
    <x v="18"/>
    <x v="1"/>
    <x v="4"/>
    <x v="3"/>
    <x v="0"/>
  </r>
  <r>
    <x v="18"/>
    <x v="1"/>
    <x v="2"/>
    <x v="47"/>
    <x v="0"/>
  </r>
  <r>
    <x v="18"/>
    <x v="1"/>
    <x v="1"/>
    <x v="47"/>
    <x v="0"/>
  </r>
  <r>
    <x v="18"/>
    <x v="0"/>
    <x v="0"/>
    <x v="3"/>
    <x v="0"/>
  </r>
  <r>
    <x v="18"/>
    <x v="0"/>
    <x v="3"/>
    <x v="3"/>
    <x v="0"/>
  </r>
  <r>
    <x v="18"/>
    <x v="0"/>
    <x v="4"/>
    <x v="3"/>
    <x v="0"/>
  </r>
  <r>
    <x v="18"/>
    <x v="0"/>
    <x v="2"/>
    <x v="10"/>
    <x v="0"/>
  </r>
  <r>
    <x v="18"/>
    <x v="0"/>
    <x v="1"/>
    <x v="10"/>
    <x v="0"/>
  </r>
  <r>
    <x v="26"/>
    <x v="1"/>
    <x v="0"/>
    <x v="3"/>
    <x v="0"/>
  </r>
  <r>
    <x v="26"/>
    <x v="1"/>
    <x v="3"/>
    <x v="3"/>
    <x v="0"/>
  </r>
  <r>
    <x v="26"/>
    <x v="1"/>
    <x v="4"/>
    <x v="3"/>
    <x v="0"/>
  </r>
  <r>
    <x v="26"/>
    <x v="1"/>
    <x v="2"/>
    <x v="241"/>
    <x v="0"/>
  </r>
  <r>
    <x v="26"/>
    <x v="1"/>
    <x v="1"/>
    <x v="242"/>
    <x v="0"/>
  </r>
  <r>
    <x v="26"/>
    <x v="0"/>
    <x v="0"/>
    <x v="3"/>
    <x v="0"/>
  </r>
  <r>
    <x v="26"/>
    <x v="0"/>
    <x v="3"/>
    <x v="3"/>
    <x v="0"/>
  </r>
  <r>
    <x v="26"/>
    <x v="0"/>
    <x v="4"/>
    <x v="3"/>
    <x v="0"/>
  </r>
  <r>
    <x v="26"/>
    <x v="0"/>
    <x v="2"/>
    <x v="237"/>
    <x v="0"/>
  </r>
  <r>
    <x v="26"/>
    <x v="0"/>
    <x v="1"/>
    <x v="239"/>
    <x v="0"/>
  </r>
  <r>
    <x v="2"/>
    <x v="1"/>
    <x v="0"/>
    <x v="3"/>
    <x v="0"/>
  </r>
  <r>
    <x v="2"/>
    <x v="1"/>
    <x v="3"/>
    <x v="3"/>
    <x v="0"/>
  </r>
  <r>
    <x v="2"/>
    <x v="1"/>
    <x v="4"/>
    <x v="3"/>
    <x v="0"/>
  </r>
  <r>
    <x v="2"/>
    <x v="1"/>
    <x v="2"/>
    <x v="3"/>
    <x v="0"/>
  </r>
  <r>
    <x v="2"/>
    <x v="1"/>
    <x v="1"/>
    <x v="45"/>
    <x v="0"/>
  </r>
  <r>
    <x v="2"/>
    <x v="0"/>
    <x v="0"/>
    <x v="3"/>
    <x v="0"/>
  </r>
  <r>
    <x v="2"/>
    <x v="0"/>
    <x v="3"/>
    <x v="3"/>
    <x v="0"/>
  </r>
  <r>
    <x v="2"/>
    <x v="0"/>
    <x v="4"/>
    <x v="3"/>
    <x v="0"/>
  </r>
  <r>
    <x v="2"/>
    <x v="0"/>
    <x v="2"/>
    <x v="3"/>
    <x v="0"/>
  </r>
  <r>
    <x v="2"/>
    <x v="0"/>
    <x v="1"/>
    <x v="25"/>
    <x v="0"/>
  </r>
  <r>
    <x v="6"/>
    <x v="1"/>
    <x v="0"/>
    <x v="3"/>
    <x v="0"/>
  </r>
  <r>
    <x v="6"/>
    <x v="1"/>
    <x v="3"/>
    <x v="3"/>
    <x v="0"/>
  </r>
  <r>
    <x v="6"/>
    <x v="1"/>
    <x v="4"/>
    <x v="3"/>
    <x v="0"/>
  </r>
  <r>
    <x v="6"/>
    <x v="1"/>
    <x v="2"/>
    <x v="3"/>
    <x v="0"/>
  </r>
  <r>
    <x v="6"/>
    <x v="1"/>
    <x v="1"/>
    <x v="96"/>
    <x v="0"/>
  </r>
  <r>
    <x v="6"/>
    <x v="0"/>
    <x v="0"/>
    <x v="3"/>
    <x v="0"/>
  </r>
  <r>
    <x v="6"/>
    <x v="0"/>
    <x v="3"/>
    <x v="3"/>
    <x v="0"/>
  </r>
  <r>
    <x v="6"/>
    <x v="0"/>
    <x v="4"/>
    <x v="3"/>
    <x v="0"/>
  </r>
  <r>
    <x v="6"/>
    <x v="0"/>
    <x v="2"/>
    <x v="3"/>
    <x v="0"/>
  </r>
  <r>
    <x v="6"/>
    <x v="0"/>
    <x v="1"/>
    <x v="89"/>
    <x v="0"/>
  </r>
</pivotCacheRecords>
</file>

<file path=xl/pivotTables/_rels/pivotTable1.xml.rels><?xml version="1.0" encoding="UTF-8" standalone="yes" ?>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2" cacheId="1" dataOnRows="1" applyNumberFormats="0" applyBorderFormats="0" applyFontFormats="0" applyPatternFormats="0" applyAlignmentFormats="0" applyWidthHeightFormats="1" dataCaption="Values" missingCaption="" showMissing="1" updatedVersion="4" minRefreshableVersion="3" useAutoFormatting="1" createdVersion="4" indent="0" multipleFieldFilters="0" fieldListSortAscending="0">
  <location ref="A1:D7" firstHeaderRow="1" firstDataRow="2" firstDataCol="1"/>
  <pivotFields count="5">
    <pivotField showAll="0" includeNewItemsInFilter="1" sortType="ascending">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axis="axisCol" compact="0" outline="0" subtotalTop="0" showAll="0" includeNewItemsInFilter="1" sortType="ascending">
      <items count="3">
        <item x="0"/>
        <item x="1"/>
        <item t="default"/>
      </items>
    </pivotField>
    <pivotField axis="axisRow" showAll="0" includeNewItemsInFilter="1" sortType="ascending">
      <items count="6">
        <item x="0"/>
        <item h="1" x="1"/>
        <item x="2"/>
        <item x="3"/>
        <item x="4"/>
        <item t="default"/>
      </items>
    </pivotField>
    <pivotField dataField="1" compact="0" outline="0" subtotalTop="0" showAll="0" includeNewItemsInFilter="1" sortType="ascending">
      <items count="2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t="default"/>
      </items>
    </pivotField>
    <pivotField showAll="0" includeNewItemsInFilter="1" sortType="ascending">
      <items count="2">
        <item x="0"/>
        <item t="default"/>
      </items>
    </pivotField>
  </pivotFields>
  <rowFields count="1">
    <field x="2"/>
  </rowFields>
  <colFields count="1">
    <field x="1"/>
  </colFields>
  <dataFields count="1">
    <dataField name="Sum of Premium_Amount" fld="3"/>
  </dataFields>
  <pivotTableStyleInfo name="PivotStyleLight20" showRowHeaders="1" showColHeaders="1" showRowStripes="1" showColStripes="0" showLastColumn="1"/>
  <extLst>
    <ext xmlns:x14="http://schemas.microsoft.com/office/spreadsheetml/2009/9/main" uri="{962EF5D1-5CA2-4c93-8EF4-DBF5C05439D2}">
      <x14:pivotTableDefinition hideValuesRow="1"/>
    </ext>
  </extLst>
</pivotTableDefinition>
</file>

<file path=xl/pivotTables/pivotTable2.xml><?xml version="1.0" encoding="utf-8"?>
<pivotTableDefinition xmlns="http://schemas.openxmlformats.org/spreadsheetml/2006/main" name="Pivot table 1" cacheId="2" dataOnRows="1" applyNumberFormats="0" applyBorderFormats="0" applyFontFormats="0" applyPatternFormats="0" applyAlignmentFormats="0" applyWidthHeightFormats="1" dataCaption="Values" missingCaption="" showMissing="1" updatedVersion="4" minRefreshableVersion="3" useAutoFormatting="1" createdVersion="4" indent="0" multipleFieldFilters="0" fieldListSortAscending="0">
  <location ref="A3:D39" firstHeaderRow="1" firstDataRow="2" firstDataCol="1" rowPageCount="1" colPageCount="1"/>
  <pivotFields count="5">
    <pivotField axis="axisRow" showAll="0" includeNewItemsInFilter="1" sortType="ascending">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axis="axisCol" compact="0" outline="0" subtotalTop="0" showAll="0" includeNewItemsInFilter="1" sortType="ascending">
      <items count="3">
        <item x="0"/>
        <item x="1"/>
        <item t="default"/>
      </items>
    </pivotField>
    <pivotField axis="axisPage" compact="0" outline="0" subtotalTop="0" showAll="0" includeNewItemsInFilter="1" sortType="ascending">
      <items count="6">
        <item h="1" x="0"/>
        <item x="1"/>
        <item h="1" x="2"/>
        <item h="1" x="3"/>
        <item h="1" x="4"/>
        <item t="default"/>
      </items>
    </pivotField>
    <pivotField dataField="1" compact="0" outline="0" subtotalTop="0" showAll="0" includeNewItemsInFilter="1" sortType="ascending">
      <items count="2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t="default"/>
      </items>
    </pivotField>
    <pivotField showAll="0" includeNewItemsInFilter="1" sortType="ascending">
      <items count="2">
        <item x="0"/>
        <item t="default"/>
      </items>
    </pivotField>
  </pivotFields>
  <rowFields count="1">
    <field x="0"/>
  </rowFields>
  <colFields count="1">
    <field x="1"/>
  </colFields>
  <pageFields count="1">
    <pageField fld="2"/>
  </pageFields>
  <dataFields count="1">
    <dataField name="Sum of Premium_Amount" fld="3"/>
  </dataFields>
  <pivotTableStyleInfo name="PivotStyleLight16" showRowHeaders="1" showColHeaders="1" showRowStripes="1" showColStripes="0" showLastColumn="1"/>
  <extLst>
    <ext xmlns:x14="http://schemas.microsoft.com/office/spreadsheetml/2009/9/main" uri="{962EF5D1-5CA2-4c93-8EF4-DBF5C05439D2}">
      <x14:pivotTableDefinitio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_rels/sheet2.xml.rels><?xml version="1.0" encoding="UTF-8" standalone="yes" ?>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autoPageBreaks="0"/>
  </sheetPr>
  <dimension ref="A1:H56"/>
  <sheetViews>
    <sheetView showGridLines="0" tabSelected="1" view="normal" topLeftCell="A15" zoomScale="120" workbookViewId="0">
      <selection activeCell="J10" sqref="J10"/>
    </sheetView>
  </sheetViews>
  <sheetFormatPr baseColWidth="9" defaultColWidth="10.000000" defaultRowHeight="13.45"/>
  <cols>
    <col min="8" max="8" width="26.909910" customWidth="1"/>
  </cols>
  <sheetData>
    <row r="1" spans="1:8">
      <c r="A1" s="424" t="s">
        <v>0</v>
      </c>
      <c r="B1" s="424"/>
      <c r="C1" s="424"/>
      <c r="D1" s="424"/>
      <c r="E1" s="424"/>
      <c r="F1" s="424"/>
      <c r="G1" s="424"/>
      <c r="H1" s="424"/>
    </row>
    <row r="2" spans="1:8" ht="20.95" customHeight="1">
      <c r="A2" s="425"/>
      <c r="B2" s="425"/>
      <c r="C2" s="425"/>
      <c r="D2" s="425"/>
      <c r="E2" s="425"/>
      <c r="F2" s="425"/>
      <c r="G2" s="425"/>
      <c r="H2" s="425"/>
    </row>
    <row r="3" spans="1:8" ht="10.20" customHeight="1">
      <c r="A3" s="426"/>
      <c r="B3" s="426"/>
      <c r="C3" s="426"/>
      <c r="D3" s="426"/>
      <c r="E3" s="426"/>
      <c r="F3" s="426"/>
      <c r="G3" s="426"/>
      <c r="H3" s="426"/>
    </row>
    <row r="4" spans="1:8" ht="15.55" customHeight="1">
      <c r="A4" s="427" t="s">
        <v>1</v>
      </c>
      <c r="B4" s="427"/>
      <c r="C4" s="427"/>
      <c r="D4" s="427"/>
      <c r="E4" s="427"/>
      <c r="F4" s="427"/>
      <c r="G4" s="427"/>
      <c r="H4" s="427"/>
    </row>
    <row r="5" spans="1:8">
      <c r="A5" s="428" t="s">
        <v>2</v>
      </c>
      <c r="B5" s="428"/>
      <c r="C5" s="428"/>
      <c r="D5" s="428"/>
      <c r="E5" s="428"/>
      <c r="F5" s="428"/>
      <c r="G5" s="428"/>
      <c r="H5" s="428"/>
    </row>
    <row r="6" spans="1:8">
      <c r="A6" s="429"/>
      <c r="B6" s="429"/>
      <c r="C6" s="429"/>
      <c r="D6" s="429"/>
      <c r="E6" s="429"/>
      <c r="F6" s="429"/>
      <c r="G6" s="429"/>
      <c r="H6" s="429"/>
    </row>
    <row r="7" spans="1:8">
      <c r="A7" s="429"/>
      <c r="B7" s="429"/>
      <c r="C7" s="429"/>
      <c r="D7" s="429"/>
      <c r="E7" s="429"/>
      <c r="F7" s="429"/>
      <c r="G7" s="429"/>
      <c r="H7" s="429"/>
    </row>
    <row r="8" spans="1:8">
      <c r="A8" s="429"/>
      <c r="B8" s="429"/>
      <c r="C8" s="429"/>
      <c r="D8" s="429"/>
      <c r="E8" s="429"/>
      <c r="F8" s="429"/>
      <c r="G8" s="429"/>
      <c r="H8" s="429"/>
    </row>
    <row r="9" spans="1:8">
      <c r="A9" s="426"/>
      <c r="B9" s="426"/>
      <c r="C9" s="426"/>
      <c r="D9" s="430"/>
      <c r="E9" s="426"/>
      <c r="F9" s="426"/>
      <c r="G9" s="426"/>
      <c r="H9" s="426"/>
    </row>
    <row r="10" spans="1:8">
      <c r="A10" s="431" t="s">
        <v>3</v>
      </c>
      <c r="B10" s="431"/>
      <c r="C10" s="431"/>
      <c r="D10" s="431"/>
      <c r="E10" s="431"/>
      <c r="F10" s="431"/>
      <c r="G10" s="431"/>
      <c r="H10" s="431"/>
    </row>
    <row r="11" spans="1:8">
      <c r="A11" s="432" t="s">
        <v>4</v>
      </c>
      <c r="B11" s="432"/>
      <c r="C11" s="432"/>
      <c r="D11" s="432"/>
      <c r="E11" s="432"/>
      <c r="F11" s="432"/>
      <c r="G11" s="432"/>
      <c r="H11" s="432"/>
    </row>
    <row r="12" spans="1:8">
      <c r="A12" s="432"/>
      <c r="B12" s="432"/>
      <c r="C12" s="432"/>
      <c r="D12" s="432"/>
      <c r="E12" s="432"/>
      <c r="F12" s="432"/>
      <c r="G12" s="432"/>
      <c r="H12" s="432"/>
    </row>
    <row r="13" spans="1:8">
      <c r="A13" s="432"/>
      <c r="B13" s="432"/>
      <c r="C13" s="432"/>
      <c r="D13" s="432"/>
      <c r="E13" s="432"/>
      <c r="F13" s="432"/>
      <c r="G13" s="432"/>
      <c r="H13" s="432"/>
    </row>
    <row r="14" spans="1:8">
      <c r="A14" s="432"/>
      <c r="B14" s="432"/>
      <c r="C14" s="432"/>
      <c r="D14" s="432"/>
      <c r="E14" s="432"/>
      <c r="F14" s="432"/>
      <c r="G14" s="432"/>
      <c r="H14" s="432"/>
    </row>
    <row r="15" spans="1:8">
      <c r="A15" s="433"/>
      <c r="B15" s="433"/>
      <c r="C15" s="433"/>
      <c r="D15" s="433"/>
      <c r="E15" s="433"/>
      <c r="F15" s="433"/>
      <c r="G15" s="433"/>
      <c r="H15" s="433"/>
    </row>
    <row r="16" spans="1:8" ht="12.20" customHeight="1">
      <c r="A16" s="426"/>
      <c r="B16" s="426"/>
      <c r="C16" s="426"/>
      <c r="D16" s="426"/>
      <c r="E16" s="426"/>
      <c r="F16" s="426"/>
      <c r="G16" s="426"/>
      <c r="H16" s="426"/>
    </row>
    <row r="17" spans="1:8">
      <c r="A17" s="431" t="s">
        <v>5</v>
      </c>
      <c r="B17" s="431"/>
      <c r="C17" s="431"/>
      <c r="D17" s="431"/>
      <c r="E17" s="431"/>
      <c r="F17" s="431"/>
      <c r="G17" s="431"/>
      <c r="H17" s="431"/>
    </row>
    <row r="18" spans="1:8">
      <c r="A18" s="434" t="s">
        <v>6</v>
      </c>
      <c r="B18" s="434"/>
      <c r="C18" s="434"/>
      <c r="D18" s="434"/>
      <c r="E18" s="434"/>
      <c r="F18" s="434"/>
      <c r="G18" s="434"/>
      <c r="H18" s="434"/>
    </row>
    <row r="19" spans="1:8">
      <c r="A19" s="434"/>
      <c r="B19" s="434"/>
      <c r="C19" s="434"/>
      <c r="D19" s="434"/>
      <c r="E19" s="434"/>
      <c r="F19" s="434"/>
      <c r="G19" s="434"/>
      <c r="H19" s="434"/>
    </row>
    <row r="20" spans="1:8">
      <c r="A20" s="434"/>
      <c r="B20" s="434"/>
      <c r="C20" s="434"/>
      <c r="D20" s="434"/>
      <c r="E20" s="434"/>
      <c r="F20" s="434"/>
      <c r="G20" s="434"/>
      <c r="H20" s="434"/>
    </row>
    <row r="21" spans="1:8">
      <c r="A21" s="434"/>
      <c r="B21" s="434"/>
      <c r="C21" s="434"/>
      <c r="D21" s="434"/>
      <c r="E21" s="434"/>
      <c r="F21" s="434"/>
      <c r="G21" s="434"/>
      <c r="H21" s="434"/>
    </row>
    <row r="22" spans="1:8">
      <c r="A22" s="434"/>
      <c r="B22" s="434"/>
      <c r="C22" s="434"/>
      <c r="D22" s="434"/>
      <c r="E22" s="434"/>
      <c r="F22" s="434"/>
      <c r="G22" s="434"/>
      <c r="H22" s="434"/>
    </row>
    <row r="23" spans="1:8">
      <c r="A23" s="426"/>
      <c r="B23" s="426"/>
      <c r="C23" s="426"/>
      <c r="D23" s="426"/>
      <c r="E23" s="426"/>
      <c r="F23" s="426"/>
      <c r="G23" s="426"/>
      <c r="H23" s="426"/>
    </row>
    <row r="24" spans="1:8">
      <c r="A24" s="435" t="s">
        <v>7</v>
      </c>
      <c r="B24" s="435"/>
      <c r="C24" s="435"/>
      <c r="D24" s="435"/>
      <c r="E24" s="435"/>
      <c r="F24" s="435"/>
      <c r="G24" s="435"/>
      <c r="H24" s="435"/>
    </row>
    <row r="25" spans="1:8">
      <c r="A25" s="436" t="s">
        <v>8</v>
      </c>
      <c r="B25" s="436"/>
      <c r="C25" s="436"/>
      <c r="D25" s="436"/>
      <c r="E25" s="436"/>
      <c r="F25" s="436"/>
      <c r="G25" s="436"/>
      <c r="H25" s="436"/>
    </row>
    <row r="26" spans="1:8">
      <c r="A26" s="436"/>
      <c r="B26" s="436"/>
      <c r="C26" s="436"/>
      <c r="D26" s="436"/>
      <c r="E26" s="436"/>
      <c r="F26" s="436"/>
      <c r="G26" s="436"/>
      <c r="H26" s="436"/>
    </row>
    <row r="27" spans="1:8">
      <c r="A27" s="436"/>
      <c r="B27" s="436"/>
      <c r="C27" s="436"/>
      <c r="D27" s="436"/>
      <c r="E27" s="436"/>
      <c r="F27" s="436"/>
      <c r="G27" s="436"/>
      <c r="H27" s="436"/>
    </row>
    <row r="28" spans="1:8">
      <c r="A28" s="436"/>
      <c r="B28" s="436"/>
      <c r="C28" s="436"/>
      <c r="D28" s="436"/>
      <c r="E28" s="436"/>
      <c r="F28" s="436"/>
      <c r="G28" s="436"/>
      <c r="H28" s="436"/>
    </row>
    <row r="29" spans="1:8">
      <c r="A29" s="436"/>
      <c r="B29" s="436"/>
      <c r="C29" s="436"/>
      <c r="D29" s="436"/>
      <c r="E29" s="436"/>
      <c r="F29" s="436"/>
      <c r="G29" s="436"/>
      <c r="H29" s="436"/>
    </row>
    <row r="30" spans="1:8">
      <c r="A30" s="437"/>
      <c r="B30" s="437"/>
      <c r="C30" s="437"/>
      <c r="D30" s="437"/>
      <c r="E30" s="437"/>
      <c r="F30" s="437"/>
      <c r="G30" s="437"/>
      <c r="H30" s="437"/>
    </row>
    <row r="31" spans="1:8">
      <c r="A31" s="438"/>
      <c r="B31" s="438"/>
      <c r="C31" s="438"/>
      <c r="D31" s="438"/>
      <c r="E31" s="438"/>
      <c r="F31" s="438"/>
      <c r="G31" s="438"/>
      <c r="H31" s="438"/>
    </row>
    <row r="32" spans="1:8">
      <c r="A32" s="438"/>
      <c r="B32" s="438"/>
      <c r="C32" s="438"/>
      <c r="D32" s="438"/>
      <c r="E32" s="438"/>
      <c r="F32" s="438"/>
      <c r="G32" s="438"/>
      <c r="H32" s="438"/>
    </row>
    <row r="33" spans="1:8" ht="18.10" customHeight="1">
      <c r="A33" s="438"/>
      <c r="B33" s="438"/>
      <c r="C33" s="438"/>
      <c r="D33" s="438"/>
      <c r="E33" s="438"/>
      <c r="F33" s="438"/>
      <c r="G33" s="438"/>
      <c r="H33" s="438"/>
    </row>
    <row r="34" spans="1:8">
      <c r="A34" s="439"/>
      <c r="B34" s="439"/>
      <c r="C34" s="439"/>
      <c r="D34" s="439"/>
      <c r="E34" s="439"/>
      <c r="F34" s="439"/>
      <c r="G34" s="439"/>
      <c r="H34" s="439"/>
    </row>
    <row r="35" spans="1:8">
      <c r="A35" s="440" t="s">
        <v>9</v>
      </c>
      <c r="B35" s="440"/>
      <c r="C35" s="440"/>
      <c r="D35" s="440"/>
      <c r="E35" s="440"/>
      <c r="F35" s="440"/>
      <c r="G35" s="440"/>
      <c r="H35" s="440"/>
    </row>
    <row r="36" spans="1:8">
      <c r="A36" s="441" t="s">
        <v>10</v>
      </c>
      <c r="B36" s="441"/>
      <c r="C36" s="441"/>
      <c r="D36" s="441"/>
      <c r="E36" s="441"/>
      <c r="F36" s="441"/>
      <c r="G36" s="441"/>
      <c r="H36" s="441"/>
    </row>
    <row r="37" spans="1:8">
      <c r="A37" s="441"/>
      <c r="B37" s="441"/>
      <c r="C37" s="441"/>
      <c r="D37" s="441"/>
      <c r="E37" s="441"/>
      <c r="F37" s="441"/>
      <c r="G37" s="441"/>
      <c r="H37" s="441"/>
    </row>
    <row r="38" spans="1:8">
      <c r="A38" s="441"/>
      <c r="B38" s="441"/>
      <c r="C38" s="441"/>
      <c r="D38" s="441"/>
      <c r="E38" s="441"/>
      <c r="F38" s="441"/>
      <c r="G38" s="441"/>
      <c r="H38" s="441"/>
    </row>
    <row r="39" spans="1:8">
      <c r="A39" s="442"/>
      <c r="B39" s="442"/>
      <c r="C39" s="442"/>
      <c r="D39" s="442"/>
      <c r="E39" s="442"/>
      <c r="F39" s="442"/>
      <c r="G39" s="442"/>
      <c r="H39" s="442"/>
    </row>
    <row r="40" spans="1:8">
      <c r="A40" s="442"/>
      <c r="B40" s="442"/>
      <c r="C40" s="442"/>
      <c r="D40" s="442"/>
      <c r="E40" s="442"/>
      <c r="F40" s="442"/>
      <c r="G40" s="442"/>
      <c r="H40" s="442"/>
    </row>
    <row r="41" spans="1:8">
      <c r="A41" s="442"/>
      <c r="B41" s="442"/>
      <c r="C41" s="442"/>
      <c r="D41" s="442"/>
      <c r="E41" s="442"/>
      <c r="F41" s="442"/>
      <c r="G41" s="442"/>
      <c r="H41" s="442"/>
    </row>
    <row r="42" spans="1:8">
      <c r="A42" s="426"/>
      <c r="B42" s="426"/>
      <c r="C42" s="426"/>
      <c r="D42" s="426"/>
      <c r="E42" s="426"/>
      <c r="F42" s="426"/>
      <c r="G42" s="426"/>
      <c r="H42" s="426"/>
    </row>
    <row r="43" spans="1:8">
      <c r="A43" s="431" t="s">
        <v>11</v>
      </c>
      <c r="B43" s="431"/>
      <c r="C43" s="431"/>
      <c r="D43" s="431"/>
      <c r="E43" s="431"/>
      <c r="F43" s="431"/>
      <c r="G43" s="431"/>
      <c r="H43" s="431"/>
    </row>
    <row r="44" spans="1:8">
      <c r="A44" s="443" t="s">
        <v>12</v>
      </c>
      <c r="B44" s="443"/>
      <c r="C44" s="443"/>
      <c r="D44" s="443"/>
      <c r="E44" s="443"/>
      <c r="F44" s="443"/>
      <c r="G44" s="443"/>
      <c r="H44" s="443"/>
    </row>
    <row r="45" spans="1:8">
      <c r="A45" s="443"/>
      <c r="B45" s="443"/>
      <c r="C45" s="443"/>
      <c r="D45" s="443"/>
      <c r="E45" s="443"/>
      <c r="F45" s="443"/>
      <c r="G45" s="443"/>
      <c r="H45" s="443"/>
    </row>
    <row r="46" spans="1:8">
      <c r="A46" s="443"/>
      <c r="B46" s="443"/>
      <c r="C46" s="443"/>
      <c r="D46" s="443"/>
      <c r="E46" s="443"/>
      <c r="F46" s="443"/>
      <c r="G46" s="443"/>
      <c r="H46" s="443"/>
    </row>
    <row r="47" spans="1:8">
      <c r="A47" s="443"/>
      <c r="B47" s="443"/>
      <c r="C47" s="443"/>
      <c r="D47" s="443"/>
      <c r="E47" s="443"/>
      <c r="F47" s="443"/>
      <c r="G47" s="443"/>
      <c r="H47" s="443"/>
    </row>
    <row r="48" spans="1:8">
      <c r="A48" s="443"/>
      <c r="B48" s="443"/>
      <c r="C48" s="443"/>
      <c r="D48" s="443"/>
      <c r="E48" s="443"/>
      <c r="F48" s="443"/>
      <c r="G48" s="443"/>
      <c r="H48" s="443"/>
    </row>
    <row r="49" spans="1:8">
      <c r="A49" s="443"/>
      <c r="B49" s="443"/>
      <c r="C49" s="443"/>
      <c r="D49" s="443"/>
      <c r="E49" s="443"/>
      <c r="F49" s="443"/>
      <c r="G49" s="443"/>
      <c r="H49" s="443"/>
    </row>
    <row r="50" spans="1:8">
      <c r="A50" s="426"/>
      <c r="B50" s="426"/>
      <c r="C50" s="426"/>
      <c r="D50" s="426"/>
      <c r="E50" s="426"/>
      <c r="F50" s="426"/>
      <c r="G50" s="426"/>
      <c r="H50" s="426"/>
    </row>
    <row r="51" spans="1:8">
      <c r="A51" s="431" t="s">
        <v>13</v>
      </c>
      <c r="B51" s="431"/>
      <c r="C51" s="431"/>
      <c r="D51" s="431"/>
      <c r="E51" s="431"/>
      <c r="F51" s="431"/>
      <c r="G51" s="431"/>
      <c r="H51" s="431"/>
    </row>
    <row r="52" spans="1:8">
      <c r="A52" s="444" t="s">
        <v>14</v>
      </c>
      <c r="B52" s="444"/>
      <c r="C52" s="444"/>
      <c r="D52" s="444"/>
      <c r="E52" s="444"/>
      <c r="F52" s="444"/>
      <c r="G52" s="444"/>
      <c r="H52" s="444"/>
    </row>
    <row r="53" spans="1:8">
      <c r="A53" s="444"/>
      <c r="B53" s="444"/>
      <c r="C53" s="444"/>
      <c r="D53" s="444"/>
      <c r="E53" s="444"/>
      <c r="F53" s="444"/>
      <c r="G53" s="444"/>
      <c r="H53" s="444"/>
    </row>
    <row r="54" spans="1:8">
      <c r="A54" s="444"/>
      <c r="B54" s="444"/>
      <c r="C54" s="444"/>
      <c r="D54" s="444"/>
      <c r="E54" s="444"/>
      <c r="F54" s="444"/>
      <c r="G54" s="444"/>
      <c r="H54" s="444"/>
    </row>
    <row r="55" spans="1:8">
      <c r="A55" s="444"/>
      <c r="B55" s="444"/>
      <c r="C55" s="444"/>
      <c r="D55" s="444"/>
      <c r="E55" s="444"/>
      <c r="F55" s="444"/>
      <c r="G55" s="444"/>
      <c r="H55" s="444"/>
    </row>
    <row r="56" spans="1:8">
      <c r="A56" s="444"/>
      <c r="B56" s="444"/>
      <c r="C56" s="444"/>
      <c r="D56" s="444"/>
      <c r="E56" s="444"/>
      <c r="F56" s="444"/>
      <c r="G56" s="444"/>
      <c r="H56" s="444"/>
    </row>
  </sheetData>
  <mergeCells count="22">
    <mergeCell ref="A1:H2"/>
    <mergeCell ref="A3:H3"/>
    <mergeCell ref="A4:H4"/>
    <mergeCell ref="A5:H8"/>
    <mergeCell ref="A9:H9"/>
    <mergeCell ref="A10:H10"/>
    <mergeCell ref="A11:H15"/>
    <mergeCell ref="A16:H16"/>
    <mergeCell ref="A17:H17"/>
    <mergeCell ref="A18:H22"/>
    <mergeCell ref="A23:H23"/>
    <mergeCell ref="A24:H24"/>
    <mergeCell ref="A25:H33"/>
    <mergeCell ref="A34:H34"/>
    <mergeCell ref="A35:H35"/>
    <mergeCell ref="A36:H41"/>
    <mergeCell ref="A42:H42"/>
    <mergeCell ref="A43:H43"/>
    <mergeCell ref="A44:H49"/>
    <mergeCell ref="A50:H50"/>
    <mergeCell ref="A51:H51"/>
    <mergeCell ref="A52:H56"/>
  </mergeCells>
  <printOptions>
    <extLst>
      <ext uri="smNativeData">
        <pm:pageFlags xmlns:pm="smNativeData" id="1780841053" printRowHead="0" printColHead="0" printHeadLine="0" printFootLine="0" autoHeightHeader="0" autoHeightFooter="0" fitToPageBoth="0"/>
      </ext>
    </extLst>
  </printOptions>
  <pageMargins left="1.000000" right="1.000000" top="1.000000" bottom="1.000000" header="0.393750" footer="0.393750"/>
  <pageSetup paperSize="1" fitToWidth="0" fitToHeight="1" pageOrder="overThenDown"/>
  <headerFooter>
    <extLst>
      <ext uri="smNativeData">
        <pm:header xmlns:pm="smNativeData" id="1780841053" l="56" r="56" t="56" b="56" borderId="0" fillId="0" vertical="0"/>
        <pm:footer xmlns:pm="smNativeData" id="1780841053" l="56" r="56" t="56" b="56" borderId="0" fillId="0" vertical="2"/>
        <pm:paperBin xmlns:pm="smNativeData" id="1780841053" Id="0" type="0" value="0"/>
        <pm:paperBin xmlns:pm="smNativeData" id="1780841053" Id="1" type="0" value="0"/>
      </ext>
    </extLst>
  </headerFooter>
  <extLst>
    <ext uri="smNativeData">
      <pm:sheetPrefs xmlns:pm="smNativeData" day="1780841053"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sheetPr>
    <pageSetUpPr autoPageBreaks="0" fitToPage="1"/>
  </sheetPr>
  <dimension ref="A1:N56"/>
  <sheetViews>
    <sheetView showGridLines="0" view="normal" topLeftCell="A36" zoomScale="80" workbookViewId="0">
      <selection activeCell="O13" sqref="O13"/>
    </sheetView>
  </sheetViews>
  <sheetFormatPr baseColWidth="9" defaultColWidth="10.000000" defaultRowHeight="17.85" customHeight="1"/>
  <cols>
    <col min="1" max="13" width="15.252252" customWidth="1"/>
    <col min="14" max="14" width="15.252252" customWidth="1" style="203"/>
    <col min="15" max="16384" width="12.054054" customWidth="1"/>
  </cols>
  <sheetData>
    <row r="1" spans="1:14" ht="32" customHeight="1">
      <c r="A1" s="409" t="s">
        <v>15</v>
      </c>
      <c r="B1" s="410"/>
      <c r="C1" s="410"/>
      <c r="D1" s="410"/>
      <c r="E1" s="410"/>
      <c r="F1" s="410"/>
      <c r="G1" s="410"/>
      <c r="H1" s="410"/>
      <c r="I1" s="410"/>
      <c r="J1" s="410"/>
      <c r="K1" s="410"/>
      <c r="L1" s="410"/>
      <c r="M1" s="410"/>
      <c r="N1" s="411"/>
    </row>
    <row r="2" spans="1:14" ht="23.25" customHeight="1">
      <c r="A2" s="412" t="s">
        <v>16</v>
      </c>
      <c r="B2" s="396"/>
      <c r="C2" s="396"/>
      <c r="D2" s="396"/>
      <c r="E2" s="396"/>
      <c r="F2" s="396"/>
      <c r="G2" s="396"/>
      <c r="H2" s="396"/>
      <c r="I2" s="396"/>
      <c r="J2" s="396"/>
      <c r="K2" s="396"/>
      <c r="L2" s="396"/>
      <c r="M2" s="396"/>
      <c r="N2" s="397"/>
    </row>
    <row r="3" spans="1:14" ht="25.85" customHeight="1">
      <c r="A3" s="413" t="s">
        <v>17</v>
      </c>
      <c r="B3" s="398"/>
      <c r="C3" s="398"/>
      <c r="D3" s="398"/>
      <c r="E3" s="398"/>
      <c r="F3" s="398"/>
      <c r="G3" s="398"/>
      <c r="H3" s="398"/>
      <c r="I3" s="398"/>
      <c r="J3" s="398"/>
      <c r="K3" s="398"/>
      <c r="L3" s="398"/>
      <c r="M3" s="398"/>
      <c r="N3" s="399"/>
    </row>
    <row r="4" spans="1:14" ht="17.85" customHeight="1">
      <c r="A4" s="209"/>
      <c r="B4" s="184"/>
      <c r="C4" s="184"/>
      <c r="D4" s="184"/>
      <c r="E4" s="184"/>
      <c r="F4" s="184"/>
      <c r="G4" s="175"/>
      <c r="H4" s="184"/>
      <c r="I4" s="184"/>
      <c r="J4" s="184"/>
      <c r="K4" s="184"/>
      <c r="L4" s="184"/>
      <c r="M4" s="184"/>
      <c r="N4" s="394"/>
    </row>
    <row r="5" spans="1:14" ht="28" customHeight="1">
      <c r="A5" s="373" t="s">
        <v>18</v>
      </c>
      <c r="B5" s="374"/>
      <c r="C5" s="313" t="s">
        <v>19</v>
      </c>
      <c r="D5" s="375"/>
      <c r="E5" s="315" t="s">
        <v>20</v>
      </c>
      <c r="F5" s="376"/>
      <c r="G5" s="317" t="s">
        <v>21</v>
      </c>
      <c r="H5" s="377"/>
      <c r="I5" s="319" t="s">
        <v>22</v>
      </c>
      <c r="J5" s="378"/>
      <c r="K5" s="307" t="s">
        <v>23</v>
      </c>
      <c r="L5" s="308"/>
      <c r="M5" s="308"/>
      <c r="N5" s="311"/>
    </row>
    <row r="6" spans="1:14" ht="17.85" customHeight="1">
      <c r="A6" s="379">
        <f>Analysis!D15</f>
        <v>29143.1899999999951</v>
      </c>
      <c r="B6" s="380"/>
      <c r="C6" s="322">
        <f>Analysis!D16</f>
        <v>31654.1700000000019</v>
      </c>
      <c r="D6" s="381"/>
      <c r="E6" s="323">
        <f>Analysis!D18</f>
        <v>0.0861600943479420245</v>
      </c>
      <c r="F6" s="382"/>
      <c r="G6" s="324" t="str">
        <f>Analysis!J28</f>
        <v>The New India Assurance Co Ltd</v>
      </c>
      <c r="H6" s="383"/>
      <c r="I6" s="320" t="s">
        <v>24</v>
      </c>
      <c r="J6" s="384"/>
      <c r="K6" s="309" t="s">
        <v>25</v>
      </c>
      <c r="L6" s="310"/>
      <c r="M6" s="310"/>
      <c r="N6" s="312"/>
    </row>
    <row r="7" spans="1:14" ht="17.85" customHeight="1">
      <c r="A7" s="379"/>
      <c r="B7" s="380"/>
      <c r="C7" s="322"/>
      <c r="D7" s="381"/>
      <c r="E7" s="325"/>
      <c r="F7" s="382"/>
      <c r="G7" s="324"/>
      <c r="H7" s="383"/>
      <c r="I7" s="320"/>
      <c r="J7" s="384"/>
      <c r="K7" s="309"/>
      <c r="L7" s="310"/>
      <c r="M7" s="310"/>
      <c r="N7" s="312"/>
    </row>
    <row r="8" spans="1:14" ht="17.85" customHeight="1">
      <c r="A8" s="379"/>
      <c r="B8" s="380"/>
      <c r="C8" s="322"/>
      <c r="D8" s="381"/>
      <c r="E8" s="325"/>
      <c r="F8" s="382"/>
      <c r="G8" s="324"/>
      <c r="H8" s="383"/>
      <c r="I8" s="320"/>
      <c r="J8" s="384"/>
      <c r="K8" s="309"/>
      <c r="L8" s="310"/>
      <c r="M8" s="310"/>
      <c r="N8" s="312"/>
    </row>
    <row r="9" spans="1:14" ht="28.55" customHeight="1">
      <c r="A9" s="385" t="s">
        <v>26</v>
      </c>
      <c r="B9" s="386"/>
      <c r="C9" s="314" t="s">
        <v>27</v>
      </c>
      <c r="D9" s="387"/>
      <c r="E9" s="316" t="s">
        <v>28</v>
      </c>
      <c r="F9" s="388"/>
      <c r="G9" s="318" t="s">
        <v>29</v>
      </c>
      <c r="H9" s="389"/>
      <c r="I9" s="321" t="s">
        <v>30</v>
      </c>
      <c r="J9" s="390"/>
      <c r="K9" s="305" t="s">
        <v>31</v>
      </c>
      <c r="L9" s="306"/>
      <c r="M9" s="306"/>
      <c r="N9" s="326"/>
    </row>
    <row r="10" spans="1:14" ht="17.85" customHeight="1">
      <c r="A10" s="391"/>
      <c r="B10" s="185"/>
      <c r="C10" s="185"/>
      <c r="D10" s="185"/>
      <c r="E10" s="185"/>
      <c r="F10" s="185"/>
      <c r="G10" s="185"/>
      <c r="H10" s="185"/>
      <c r="I10" s="185"/>
      <c r="J10" s="185"/>
      <c r="K10" s="185"/>
      <c r="L10" s="185"/>
      <c r="M10" s="185"/>
      <c r="N10" s="395"/>
    </row>
    <row r="11" spans="1:1" ht="17.85" customHeight="1">
      <c r="A11" s="238"/>
    </row>
    <row r="12" spans="1:7" ht="17.85" customHeight="1">
      <c r="A12" s="238"/>
      <c r="G12" s="304"/>
    </row>
    <row r="13" spans="1:1" ht="17.85" customHeight="1">
      <c r="A13" s="238"/>
    </row>
    <row r="14" spans="1:1" ht="17.85" customHeight="1">
      <c r="A14" s="238"/>
    </row>
    <row r="15" spans="1:1" ht="17.85" customHeight="1">
      <c r="A15" s="238"/>
    </row>
    <row r="16" spans="1:1" ht="17.85" customHeight="1">
      <c r="A16" s="238"/>
    </row>
    <row r="17" spans="1:1" ht="17.85" customHeight="1">
      <c r="A17" s="238"/>
    </row>
    <row r="18" spans="1:1" ht="17.85" customHeight="1">
      <c r="A18" s="238"/>
    </row>
    <row r="19" spans="1:1" ht="17.85" customHeight="1">
      <c r="A19" s="238"/>
    </row>
    <row r="20" spans="1:1" ht="17.85" customHeight="1">
      <c r="A20" s="238"/>
    </row>
    <row r="21" spans="1:1" ht="17.85" customHeight="1">
      <c r="A21" s="238"/>
    </row>
    <row r="22" spans="1:1" ht="17.85" customHeight="1">
      <c r="A22" s="238"/>
    </row>
    <row r="23" spans="1:1" ht="17.85" customHeight="1">
      <c r="A23" s="238"/>
    </row>
    <row r="24" spans="1:1" ht="17.85" customHeight="1">
      <c r="A24" s="238"/>
    </row>
    <row r="25" spans="1:1" ht="17.85" customHeight="1">
      <c r="A25" s="238"/>
    </row>
    <row r="26" spans="1:1" ht="17.85" customHeight="1">
      <c r="A26" s="238"/>
    </row>
    <row r="27" spans="1:1" ht="17.85" customHeight="1">
      <c r="A27" s="238"/>
    </row>
    <row r="28" spans="1:13" ht="17.85" customHeight="1">
      <c r="A28" s="238"/>
      <c r="H28" s="179"/>
      <c r="I28" s="179"/>
      <c r="J28" s="179"/>
      <c r="K28" s="179"/>
      <c r="L28" s="179"/>
      <c r="M28" s="179"/>
    </row>
    <row r="29" spans="1:14" ht="17.85" customHeight="1">
      <c r="A29" s="238"/>
      <c r="G29" s="303"/>
      <c r="H29" s="345" t="s">
        <v>32</v>
      </c>
      <c r="I29" s="346"/>
      <c r="J29" s="346"/>
      <c r="K29" s="346"/>
      <c r="L29" s="346"/>
      <c r="M29" s="346"/>
      <c r="N29" s="392"/>
    </row>
    <row r="30" spans="1:8" ht="17.85" customHeight="1">
      <c r="A30" s="238"/>
      <c r="G30" s="303"/>
      <c r="H30" s="187"/>
    </row>
    <row r="31" spans="1:14" ht="17.85" customHeight="1">
      <c r="A31" s="238"/>
      <c r="G31" s="303"/>
      <c r="H31" s="340" t="s">
        <v>33</v>
      </c>
      <c r="I31" s="327"/>
      <c r="J31" s="327"/>
      <c r="K31" s="329" t="s">
        <v>34</v>
      </c>
      <c r="L31" s="329"/>
      <c r="M31" s="329"/>
      <c r="N31" s="330"/>
    </row>
    <row r="32" spans="1:14" ht="17.85" customHeight="1">
      <c r="A32" s="238"/>
      <c r="G32" s="303"/>
      <c r="H32" s="341"/>
      <c r="I32" s="328"/>
      <c r="J32" s="328"/>
      <c r="K32" s="331"/>
      <c r="L32" s="331"/>
      <c r="M32" s="331"/>
      <c r="N32" s="332"/>
    </row>
    <row r="33" spans="1:14" ht="17.85" customHeight="1">
      <c r="A33" s="238"/>
      <c r="G33" s="303"/>
      <c r="H33" s="341"/>
      <c r="I33" s="328"/>
      <c r="J33" s="328"/>
      <c r="K33" s="331"/>
      <c r="L33" s="331"/>
      <c r="M33" s="331"/>
      <c r="N33" s="332"/>
    </row>
    <row r="34" spans="1:14" ht="17.85" customHeight="1">
      <c r="A34" s="238"/>
      <c r="G34" s="303"/>
      <c r="H34" s="340" t="s">
        <v>35</v>
      </c>
      <c r="I34" s="327"/>
      <c r="J34" s="327"/>
      <c r="K34" s="329" t="s">
        <v>36</v>
      </c>
      <c r="L34" s="329"/>
      <c r="M34" s="329"/>
      <c r="N34" s="330"/>
    </row>
    <row r="35" spans="1:14" ht="17.85" customHeight="1">
      <c r="A35" s="238"/>
      <c r="G35" s="303"/>
      <c r="H35" s="341"/>
      <c r="I35" s="328"/>
      <c r="J35" s="328"/>
      <c r="K35" s="331"/>
      <c r="L35" s="331"/>
      <c r="M35" s="331"/>
      <c r="N35" s="332"/>
    </row>
    <row r="36" spans="1:14" ht="17.85" customHeight="1">
      <c r="A36" s="238"/>
      <c r="G36" s="303"/>
      <c r="H36" s="341"/>
      <c r="I36" s="328"/>
      <c r="J36" s="328"/>
      <c r="K36" s="331"/>
      <c r="L36" s="331"/>
      <c r="M36" s="331"/>
      <c r="N36" s="332"/>
    </row>
    <row r="37" spans="1:14" ht="17.85" customHeight="1">
      <c r="A37" s="238"/>
      <c r="G37" s="303"/>
      <c r="H37" s="340" t="s">
        <v>37</v>
      </c>
      <c r="I37" s="327"/>
      <c r="J37" s="327"/>
      <c r="K37" s="329" t="s">
        <v>38</v>
      </c>
      <c r="L37" s="329"/>
      <c r="M37" s="329"/>
      <c r="N37" s="330"/>
    </row>
    <row r="38" spans="1:14" ht="17.85" customHeight="1">
      <c r="A38" s="238"/>
      <c r="G38" s="303"/>
      <c r="H38" s="340"/>
      <c r="I38" s="327"/>
      <c r="J38" s="327"/>
      <c r="K38" s="329"/>
      <c r="L38" s="329"/>
      <c r="M38" s="329"/>
      <c r="N38" s="330"/>
    </row>
    <row r="39" spans="1:14" ht="17.85" customHeight="1">
      <c r="A39" s="238"/>
      <c r="G39" s="303"/>
      <c r="H39" s="178"/>
      <c r="I39" s="179"/>
      <c r="J39" s="179"/>
      <c r="K39" s="179"/>
      <c r="L39" s="179"/>
      <c r="M39" s="179"/>
      <c r="N39" s="342"/>
    </row>
    <row r="40" spans="1:14" ht="17.85" customHeight="1">
      <c r="A40" s="238"/>
      <c r="G40" s="303"/>
      <c r="H40" s="335" t="s">
        <v>39</v>
      </c>
      <c r="I40" s="336"/>
      <c r="J40" s="336"/>
      <c r="K40" s="336"/>
      <c r="L40" s="336"/>
      <c r="M40" s="336"/>
      <c r="N40" s="343"/>
    </row>
    <row r="41" spans="1:14" ht="17.85" customHeight="1">
      <c r="A41" s="238"/>
      <c r="G41" s="303"/>
      <c r="H41" s="337"/>
      <c r="I41" s="333"/>
      <c r="J41" s="333"/>
      <c r="K41" s="333"/>
      <c r="L41" s="333"/>
      <c r="M41" s="333"/>
      <c r="N41" s="334"/>
    </row>
    <row r="42" spans="1:14" ht="17.85" customHeight="1">
      <c r="A42" s="238"/>
      <c r="G42" s="303"/>
      <c r="H42" s="337"/>
      <c r="I42" s="333"/>
      <c r="J42" s="333"/>
      <c r="K42" s="333"/>
      <c r="L42" s="333"/>
      <c r="M42" s="333"/>
      <c r="N42" s="334"/>
    </row>
    <row r="43" spans="1:14" ht="17.85" customHeight="1">
      <c r="A43" s="238"/>
      <c r="G43" s="303"/>
      <c r="H43" s="338"/>
      <c r="I43" s="339"/>
      <c r="J43" s="339"/>
      <c r="K43" s="339"/>
      <c r="L43" s="339"/>
      <c r="M43" s="339"/>
      <c r="N43" s="344"/>
    </row>
    <row r="44" spans="1:14" ht="17.85" customHeight="1">
      <c r="A44" s="238"/>
      <c r="H44" s="185"/>
      <c r="I44" s="185"/>
      <c r="J44" s="185"/>
      <c r="K44" s="185"/>
      <c r="L44" s="185"/>
      <c r="M44" s="185"/>
      <c r="N44" s="395"/>
    </row>
    <row r="45" spans="1:1" ht="17.85" customHeight="1">
      <c r="A45" s="238"/>
    </row>
    <row r="46" spans="1:14" ht="27.80" customHeight="1">
      <c r="A46" s="400" t="s">
        <v>40</v>
      </c>
      <c r="B46" s="401"/>
      <c r="C46" s="401"/>
      <c r="D46" s="401"/>
      <c r="E46" s="401"/>
      <c r="F46" s="401"/>
      <c r="G46" s="401"/>
      <c r="H46" s="401"/>
      <c r="I46" s="401"/>
      <c r="J46" s="401"/>
      <c r="K46" s="401"/>
      <c r="L46" s="401"/>
      <c r="M46" s="401"/>
      <c r="N46" s="402"/>
    </row>
    <row r="47" spans="1:13" ht="17.85" customHeight="1">
      <c r="A47" s="239"/>
      <c r="B47" s="179"/>
      <c r="C47" s="179"/>
      <c r="D47" s="179"/>
      <c r="E47" s="179"/>
      <c r="F47" s="179"/>
      <c r="G47" s="179"/>
      <c r="H47" s="179"/>
      <c r="I47" s="179"/>
      <c r="J47" s="179"/>
      <c r="K47" s="179"/>
      <c r="L47" s="179"/>
      <c r="M47" s="179"/>
    </row>
    <row r="48" spans="1:14" ht="18.70" customHeight="1">
      <c r="A48" s="393" t="s">
        <v>41</v>
      </c>
      <c r="B48" s="370"/>
      <c r="C48" s="370"/>
      <c r="D48" s="370"/>
      <c r="E48" s="372" t="s">
        <v>42</v>
      </c>
      <c r="F48" s="372"/>
      <c r="G48" s="372"/>
      <c r="H48" s="372"/>
      <c r="I48" s="372"/>
      <c r="J48" s="371" t="s">
        <v>43</v>
      </c>
      <c r="K48" s="371"/>
      <c r="L48" s="371"/>
      <c r="M48" s="371"/>
      <c r="N48" s="369"/>
    </row>
    <row r="49" spans="1:14" ht="17.85" customHeight="1">
      <c r="A49" s="414" t="s">
        <v>44</v>
      </c>
      <c r="B49" s="415"/>
      <c r="C49" s="415"/>
      <c r="D49" s="415"/>
      <c r="E49" s="418" t="s">
        <v>45</v>
      </c>
      <c r="F49" s="418"/>
      <c r="G49" s="418"/>
      <c r="H49" s="418"/>
      <c r="I49" s="418"/>
      <c r="J49" s="420" t="s">
        <v>46</v>
      </c>
      <c r="K49" s="420"/>
      <c r="L49" s="420"/>
      <c r="M49" s="420"/>
      <c r="N49" s="421"/>
    </row>
    <row r="50" spans="1:14" ht="17.85" customHeight="1">
      <c r="A50" s="414"/>
      <c r="B50" s="415"/>
      <c r="C50" s="415"/>
      <c r="D50" s="415"/>
      <c r="E50" s="418"/>
      <c r="F50" s="418"/>
      <c r="G50" s="418"/>
      <c r="H50" s="418"/>
      <c r="I50" s="418"/>
      <c r="J50" s="420"/>
      <c r="K50" s="420"/>
      <c r="L50" s="420"/>
      <c r="M50" s="420"/>
      <c r="N50" s="421"/>
    </row>
    <row r="51" spans="1:14" ht="17.85" customHeight="1">
      <c r="A51" s="414"/>
      <c r="B51" s="415"/>
      <c r="C51" s="415"/>
      <c r="D51" s="415"/>
      <c r="E51" s="418"/>
      <c r="F51" s="418"/>
      <c r="G51" s="418"/>
      <c r="H51" s="418"/>
      <c r="I51" s="418"/>
      <c r="J51" s="420"/>
      <c r="K51" s="420"/>
      <c r="L51" s="420"/>
      <c r="M51" s="420"/>
      <c r="N51" s="421"/>
    </row>
    <row r="52" spans="1:14" ht="17.85" customHeight="1">
      <c r="A52" s="414"/>
      <c r="B52" s="415"/>
      <c r="C52" s="415"/>
      <c r="D52" s="415"/>
      <c r="E52" s="418"/>
      <c r="F52" s="418"/>
      <c r="G52" s="418"/>
      <c r="H52" s="418"/>
      <c r="I52" s="418"/>
      <c r="J52" s="420"/>
      <c r="K52" s="420"/>
      <c r="L52" s="420"/>
      <c r="M52" s="420"/>
      <c r="N52" s="421"/>
    </row>
    <row r="53" spans="1:14" ht="17.85" customHeight="1">
      <c r="A53" s="416"/>
      <c r="B53" s="417"/>
      <c r="C53" s="417"/>
      <c r="D53" s="417"/>
      <c r="E53" s="419"/>
      <c r="F53" s="419"/>
      <c r="G53" s="419"/>
      <c r="H53" s="419"/>
      <c r="I53" s="419"/>
      <c r="J53" s="422"/>
      <c r="K53" s="422"/>
      <c r="L53" s="422"/>
      <c r="M53" s="422"/>
      <c r="N53" s="423"/>
    </row>
    <row r="54" spans="1:9" ht="17.85" customHeight="1">
      <c r="A54" s="391"/>
      <c r="B54" s="185"/>
      <c r="C54" s="185"/>
      <c r="D54" s="185"/>
      <c r="E54" s="185"/>
      <c r="F54" s="185"/>
      <c r="G54" s="185"/>
      <c r="H54" s="185"/>
      <c r="I54" s="185"/>
    </row>
    <row r="55" spans="1:14" ht="17.85" customHeight="1">
      <c r="A55" s="403" t="s">
        <v>47</v>
      </c>
      <c r="B55" s="404"/>
      <c r="C55" s="404"/>
      <c r="D55" s="404"/>
      <c r="E55" s="404"/>
      <c r="F55" s="404"/>
      <c r="G55" s="404"/>
      <c r="H55" s="404"/>
      <c r="I55" s="404"/>
      <c r="J55" s="404"/>
      <c r="K55" s="404"/>
      <c r="L55" s="404"/>
      <c r="M55" s="404"/>
      <c r="N55" s="405"/>
    </row>
    <row r="56" spans="1:14" ht="35.85" customHeight="1">
      <c r="A56" s="406"/>
      <c r="B56" s="407"/>
      <c r="C56" s="407"/>
      <c r="D56" s="407"/>
      <c r="E56" s="407"/>
      <c r="F56" s="407"/>
      <c r="G56" s="407"/>
      <c r="H56" s="407"/>
      <c r="I56" s="407"/>
      <c r="J56" s="407"/>
      <c r="K56" s="407"/>
      <c r="L56" s="407"/>
      <c r="M56" s="407"/>
      <c r="N56" s="408"/>
    </row>
  </sheetData>
  <mergeCells count="37">
    <mergeCell ref="A1:N1"/>
    <mergeCell ref="A2:N2"/>
    <mergeCell ref="A3:N3"/>
    <mergeCell ref="A5:B5"/>
    <mergeCell ref="C5:D5"/>
    <mergeCell ref="E5:F5"/>
    <mergeCell ref="G5:H5"/>
    <mergeCell ref="I5:J5"/>
    <mergeCell ref="K5:N5"/>
    <mergeCell ref="A6:B8"/>
    <mergeCell ref="C6:D8"/>
    <mergeCell ref="E6:F8"/>
    <mergeCell ref="G6:H8"/>
    <mergeCell ref="I6:J8"/>
    <mergeCell ref="K6:N8"/>
    <mergeCell ref="A9:B9"/>
    <mergeCell ref="C9:D9"/>
    <mergeCell ref="E9:F9"/>
    <mergeCell ref="G9:H9"/>
    <mergeCell ref="I9:J9"/>
    <mergeCell ref="K9:N9"/>
    <mergeCell ref="H29:N29"/>
    <mergeCell ref="H31:J32"/>
    <mergeCell ref="K31:N32"/>
    <mergeCell ref="H34:J35"/>
    <mergeCell ref="K34:N35"/>
    <mergeCell ref="H37:J38"/>
    <mergeCell ref="K37:N38"/>
    <mergeCell ref="H40:N43"/>
    <mergeCell ref="A46:N46"/>
    <mergeCell ref="A48:D48"/>
    <mergeCell ref="E48:I48"/>
    <mergeCell ref="J48:N48"/>
    <mergeCell ref="A49:D53"/>
    <mergeCell ref="E49:I53"/>
    <mergeCell ref="J49:N53"/>
    <mergeCell ref="A55:N56"/>
  </mergeCells>
  <printOptions horizontalCentered="1" verticalCentered="1">
    <extLst>
      <ext uri="smNativeData">
        <pm:pageFlags xmlns:pm="smNativeData" id="1780841053" printRowHead="0" printColHead="0" printHeadLine="0" printFootLine="0" autoHeightHeader="0" autoHeightFooter="0" fitToPageBoth="1"/>
      </ext>
    </extLst>
  </printOptions>
  <pageMargins left="0.252083" right="0.252083" top="0.752083" bottom="0.752083" header="0.299306" footer="0.299306"/>
  <pageSetup paperSize="9" scale="47" fitToWidth="1" fitToHeight="1" pageOrder="overThenDown"/>
  <headerFooter>
    <extLst>
      <ext uri="smNativeData">
        <pm:header xmlns:pm="smNativeData" id="1780841053" l="56" r="56" t="56" b="56" borderId="0" fillId="0" vertical="0"/>
        <pm:footer xmlns:pm="smNativeData" id="1780841053" l="56" r="56" t="56" b="56" borderId="0" fillId="0" vertical="2"/>
        <pm:paperBin xmlns:pm="smNativeData" id="1780841053" Id="0" type="0" value="0"/>
        <pm:paperBin xmlns:pm="smNativeData" id="1780841053" Id="1" type="0" value="0"/>
      </ext>
    </extLst>
  </headerFooter>
  <drawing r:id="rId1"/>
  <extLst>
    <ext uri="smNativeData">
      <pm:sheetPrefs xmlns:pm="smNativeData" day="1780841053" outlineProtect="1" showHorizontalRuler="1" showVerticalRuler="1" showAltShade="0">
        <pm:shade id="0" type="0" fgLvl="100" fgClr="000000" bgLvl="100" bgClr="FFFFFF"/>
        <pm:shade id="1" type="0" fgLvl="100" fgClr="000000" bgLvl="100" bgClr="FFFFFF"/>
      </pm:sheetPrefs>
    </ext>
  </extLst>
</worksheet>
</file>

<file path=xl/worksheets/sheet3.xml><?xml version="1.0" encoding="utf-8"?>
<worksheet xmlns="http://schemas.openxmlformats.org/spreadsheetml/2006/main" xmlns:r="http://schemas.openxmlformats.org/officeDocument/2006/relationships" xmlns:mc="http://schemas.openxmlformats.org/markup-compatibility/2006">
  <dimension ref="A1:Q84"/>
  <sheetViews>
    <sheetView view="normal" zoomScale="65" workbookViewId="0">
      <selection activeCell="Q17" sqref="Q17"/>
    </sheetView>
  </sheetViews>
  <sheetFormatPr baseColWidth="9" defaultColWidth="10.000000" defaultRowHeight="13.45"/>
  <cols>
    <col min="1" max="1" width="24.405405" customWidth="1"/>
    <col min="2" max="2" width="19.585586" customWidth="1"/>
    <col min="3" max="6" width="15.567568" customWidth="1"/>
    <col min="7" max="7" width="17.576577" customWidth="1"/>
    <col min="8" max="8" width="15.567568" customWidth="1"/>
    <col min="9" max="9" width="13.504505" customWidth="1" style="20"/>
    <col min="10" max="10" width="29.126126" customWidth="1" style="23"/>
    <col min="11" max="11" width="18.225225" customWidth="1" style="23"/>
    <col min="12" max="13" width="16.747748" customWidth="1"/>
    <col min="14" max="14" width="13.504505" customWidth="1"/>
    <col min="15" max="15" width="15.567568" customWidth="1" style="203"/>
    <col min="16" max="16" width="15.567568" customWidth="1"/>
    <col min="17" max="17" width="19.459459" customWidth="1"/>
    <col min="18" max="16383" width="15.567568" customWidth="1"/>
  </cols>
  <sheetData>
    <row r="1" spans="1:15" s="10" customFormat="1" ht="25.70" customHeight="1">
      <c r="A1" s="188" t="s">
        <v>48</v>
      </c>
      <c r="B1" s="189"/>
      <c r="C1" s="189"/>
      <c r="D1" s="189"/>
      <c r="E1" s="189"/>
      <c r="F1" s="189"/>
      <c r="G1" s="189"/>
      <c r="H1" s="189"/>
      <c r="I1" s="190"/>
      <c r="J1" s="191"/>
      <c r="K1" s="191"/>
      <c r="L1" s="192"/>
      <c r="M1" s="192"/>
      <c r="N1" s="356"/>
      <c r="O1" s="193"/>
    </row>
    <row r="2" spans="1:15" s="10" customFormat="1" ht="15.85" customHeight="1">
      <c r="A2" s="194"/>
      <c r="B2" s="172"/>
      <c r="C2" s="172"/>
      <c r="D2" s="172"/>
      <c r="E2" s="172"/>
      <c r="F2" s="172"/>
      <c r="G2" s="172"/>
      <c r="H2" s="172"/>
      <c r="I2" s="173"/>
      <c r="J2" s="174"/>
      <c r="K2" s="174"/>
      <c r="L2" s="175"/>
      <c r="M2" s="175"/>
      <c r="N2" s="175"/>
      <c r="O2" s="195"/>
    </row>
    <row r="3" spans="1:15" s="10" customFormat="1" ht="25.70" customHeight="1">
      <c r="A3" s="196" t="s">
        <v>49</v>
      </c>
      <c r="B3" s="151"/>
      <c r="C3" s="151"/>
      <c r="D3" s="151"/>
      <c r="E3" s="151"/>
      <c r="F3" s="151"/>
      <c r="G3" s="151"/>
      <c r="H3" s="151"/>
      <c r="I3" s="152"/>
      <c r="J3" s="153"/>
      <c r="K3" s="153"/>
      <c r="L3" s="8"/>
      <c r="M3" s="8"/>
      <c r="N3" s="183"/>
      <c r="O3" s="197"/>
    </row>
    <row r="4" spans="1:15" s="10" customFormat="1">
      <c r="A4" s="198"/>
      <c r="B4" s="175"/>
      <c r="C4" s="175"/>
      <c r="D4" s="175"/>
      <c r="E4" s="175"/>
      <c r="F4" s="175"/>
      <c r="G4" s="175"/>
      <c r="H4" s="175"/>
      <c r="I4" s="173"/>
      <c r="J4" s="174"/>
      <c r="K4" s="174"/>
      <c r="L4" s="175"/>
      <c r="M4" s="175"/>
      <c r="N4" s="175"/>
      <c r="O4" s="195"/>
    </row>
    <row r="5" spans="1:15" ht="24.30" customHeight="1">
      <c r="A5" s="199" t="s">
        <v>50</v>
      </c>
      <c r="B5" s="146"/>
      <c r="C5" s="146"/>
      <c r="D5" s="146"/>
      <c r="E5" s="146"/>
      <c r="F5" s="146"/>
      <c r="G5" s="146"/>
      <c r="H5" s="146"/>
      <c r="I5" s="146"/>
      <c r="J5" s="146"/>
      <c r="K5" s="153"/>
      <c r="L5" s="8"/>
      <c r="M5" s="8"/>
      <c r="N5" s="183"/>
      <c r="O5" s="197"/>
    </row>
    <row r="6" spans="1:15" s="10" customFormat="1">
      <c r="A6" s="200"/>
      <c r="B6" s="176"/>
      <c r="C6" s="176"/>
      <c r="D6" s="176"/>
      <c r="E6" s="176"/>
      <c r="F6" s="176"/>
      <c r="G6" s="176"/>
      <c r="H6" s="176"/>
      <c r="I6" s="176"/>
      <c r="J6" s="176"/>
      <c r="K6" s="177"/>
      <c r="L6" s="176"/>
      <c r="M6" s="176"/>
      <c r="N6" s="176"/>
      <c r="O6" s="201"/>
    </row>
    <row r="7" spans="1:9">
      <c r="A7" s="202" t="s">
        <v>51</v>
      </c>
      <c r="B7" s="147"/>
      <c r="C7" s="147"/>
      <c r="D7" s="147"/>
      <c r="E7" s="148"/>
      <c r="F7" s="178"/>
      <c r="G7" s="179"/>
      <c r="H7" s="179"/>
      <c r="I7" s="180"/>
    </row>
    <row r="8" spans="1:15" s="9" customFormat="1">
      <c r="A8" s="204" t="s">
        <v>52</v>
      </c>
      <c r="B8" s="154" t="n">
        <v>46137</v>
      </c>
      <c r="C8" s="120"/>
      <c r="D8" s="154" t="n">
        <v>46138</v>
      </c>
      <c r="E8" s="120"/>
      <c r="F8" s="80" t="s">
        <v>53</v>
      </c>
      <c r="G8" s="120"/>
      <c r="H8" s="155" t="s">
        <v>54</v>
      </c>
      <c r="I8" s="120"/>
      <c r="J8" s="181"/>
      <c r="K8" s="24"/>
      <c r="O8" s="205"/>
    </row>
    <row r="9" spans="1:10">
      <c r="A9" s="206" t="s">
        <v>55</v>
      </c>
      <c r="B9" s="59" t="n">
        <v>6512.36999999999989</v>
      </c>
      <c r="C9" s="56"/>
      <c r="D9" s="59" t="n">
        <v>4498.4399999999996</v>
      </c>
      <c r="E9" s="56"/>
      <c r="F9" s="59">
        <f>D9-B9</f>
        <v>-2013.93000000000029</v>
      </c>
      <c r="G9" s="56"/>
      <c r="H9" s="156">
        <f>F9/B9</f>
        <v>-0.309246864044886882</v>
      </c>
      <c r="I9" s="56"/>
      <c r="J9" s="182"/>
    </row>
    <row r="10" spans="1:10">
      <c r="A10" s="207" t="s">
        <v>56</v>
      </c>
      <c r="B10" s="56" t="n">
        <v>13891.2900000000009</v>
      </c>
      <c r="C10" s="56"/>
      <c r="D10" s="56" t="n">
        <v>16893.3300000000017</v>
      </c>
      <c r="E10" s="56"/>
      <c r="F10" s="56">
        <f>D10-B10</f>
        <v>3002.04000000000087</v>
      </c>
      <c r="G10" s="56"/>
      <c r="H10" s="107">
        <f>F10/B10</f>
        <v>0.21610951898635764</v>
      </c>
      <c r="I10" s="56"/>
      <c r="J10" s="182"/>
    </row>
    <row r="11" spans="1:10">
      <c r="A11" s="208" t="s">
        <v>57</v>
      </c>
      <c r="B11" s="60" t="n">
        <v>870.419999999999845</v>
      </c>
      <c r="C11" s="56"/>
      <c r="D11" s="60" t="n">
        <v>1163.17000000000007</v>
      </c>
      <c r="E11" s="56"/>
      <c r="F11" s="60">
        <f>D11-B11</f>
        <v>292.750000000000114</v>
      </c>
      <c r="G11" s="56"/>
      <c r="H11" s="157">
        <f>F11/B11</f>
        <v>0.336331885756301574</v>
      </c>
      <c r="I11" s="56"/>
      <c r="J11" s="182"/>
    </row>
    <row r="12" spans="1:10">
      <c r="A12" s="207" t="s">
        <v>58</v>
      </c>
      <c r="B12" s="56" t="n">
        <v>7869.10999999999876</v>
      </c>
      <c r="C12" s="56"/>
      <c r="D12" s="56" t="n">
        <v>9099.22999999999956</v>
      </c>
      <c r="E12" s="56"/>
      <c r="F12" s="56">
        <f>D12-B12</f>
        <v>1230.11999999999989</v>
      </c>
      <c r="G12" s="56"/>
      <c r="H12" s="107">
        <f>F12/B12</f>
        <v>0.156322633690468171</v>
      </c>
      <c r="I12" s="56"/>
      <c r="J12" s="182"/>
    </row>
    <row r="13" spans="1:9">
      <c r="A13" s="209"/>
      <c r="B13" s="184"/>
      <c r="C13" s="184"/>
      <c r="D13" s="184"/>
      <c r="E13" s="184"/>
      <c r="F13" s="185"/>
      <c r="G13" s="185"/>
      <c r="H13" s="185"/>
      <c r="I13" s="186"/>
    </row>
    <row r="14" spans="1:6">
      <c r="A14" s="210" t="s">
        <v>59</v>
      </c>
      <c r="B14" s="138"/>
      <c r="C14" s="138"/>
      <c r="D14" s="149" t="s">
        <v>60</v>
      </c>
      <c r="E14" s="138"/>
      <c r="F14" s="187"/>
    </row>
    <row r="15" spans="1:6">
      <c r="A15" s="211" t="s">
        <v>61</v>
      </c>
      <c r="B15" s="8"/>
      <c r="C15" s="8"/>
      <c r="D15" s="8">
        <f>SUM(B9:B12)</f>
        <v>29143.1899999999951</v>
      </c>
      <c r="E15" s="8"/>
      <c r="F15" s="187"/>
    </row>
    <row r="16" spans="1:6">
      <c r="A16" s="211" t="s">
        <v>62</v>
      </c>
      <c r="B16" s="8"/>
      <c r="C16" s="8"/>
      <c r="D16" s="8">
        <f>SUM(D9:D12)</f>
        <v>31654.1700000000019</v>
      </c>
      <c r="E16" s="8"/>
      <c r="F16" s="187"/>
    </row>
    <row r="17" spans="1:6">
      <c r="A17" s="212" t="s">
        <v>63</v>
      </c>
      <c r="B17" s="145"/>
      <c r="C17" s="145"/>
      <c r="D17" s="145">
        <f>D16-D15</f>
        <v>2510.97999999999956</v>
      </c>
      <c r="E17" s="145"/>
      <c r="F17" s="187"/>
    </row>
    <row r="18" spans="1:6">
      <c r="A18" s="213" t="s">
        <v>64</v>
      </c>
      <c r="B18" s="143"/>
      <c r="C18" s="143"/>
      <c r="D18" s="144">
        <f>D17/D15</f>
        <v>0.0861600943479420245</v>
      </c>
      <c r="E18" s="143"/>
      <c r="F18" s="187"/>
    </row>
    <row r="19" spans="1:9">
      <c r="A19" s="209"/>
      <c r="B19" s="184"/>
      <c r="C19" s="184"/>
      <c r="D19" s="184"/>
      <c r="E19" s="184"/>
      <c r="F19" s="179"/>
      <c r="G19" s="179"/>
      <c r="H19" s="179"/>
      <c r="I19" s="180"/>
    </row>
    <row r="20" spans="1:11">
      <c r="A20" s="214" t="s">
        <v>65</v>
      </c>
      <c r="B20" s="163"/>
      <c r="C20" s="163"/>
      <c r="D20" s="163"/>
      <c r="E20" s="163"/>
      <c r="F20" s="63"/>
      <c r="G20" s="63"/>
      <c r="H20" s="63"/>
      <c r="I20" s="63"/>
      <c r="J20" s="182"/>
      <c r="K20" s="150"/>
    </row>
    <row r="21" spans="1:10" ht="22" customHeight="1">
      <c r="A21" s="214"/>
      <c r="B21" s="163"/>
      <c r="C21" s="163"/>
      <c r="D21" s="163"/>
      <c r="E21" s="163"/>
      <c r="F21" s="63"/>
      <c r="G21" s="63"/>
      <c r="H21" s="63"/>
      <c r="I21" s="63"/>
      <c r="J21" s="182"/>
    </row>
    <row r="22" spans="1:15" ht="42.05" customHeight="1">
      <c r="A22" s="215" t="s">
        <v>66</v>
      </c>
      <c r="B22" s="216"/>
      <c r="C22" s="216"/>
      <c r="D22" s="216"/>
      <c r="E22" s="216"/>
      <c r="F22" s="216"/>
      <c r="G22" s="216"/>
      <c r="H22" s="216"/>
      <c r="I22" s="216"/>
      <c r="J22" s="217"/>
      <c r="K22" s="218"/>
      <c r="L22" s="219"/>
      <c r="M22" s="219"/>
      <c r="N22" s="219"/>
      <c r="O22" s="220"/>
    </row>
    <row r="23" spans="1:1" ht="17.60" customHeight="1">
      <c r="A23" s="10"/>
    </row>
    <row r="24" spans="1:15" ht="25.35" customHeight="1">
      <c r="A24" s="221" t="s">
        <v>67</v>
      </c>
      <c r="B24" s="222"/>
      <c r="C24" s="222"/>
      <c r="D24" s="222"/>
      <c r="E24" s="222"/>
      <c r="F24" s="222"/>
      <c r="G24" s="222"/>
      <c r="H24" s="222"/>
      <c r="I24" s="222"/>
      <c r="J24" s="222"/>
      <c r="K24" s="222"/>
      <c r="L24" s="222"/>
      <c r="M24" s="222"/>
      <c r="N24" s="357"/>
      <c r="O24" s="223"/>
    </row>
    <row r="25" spans="1:15" ht="14.25" customHeight="1">
      <c r="A25" s="194"/>
      <c r="B25" s="172"/>
      <c r="C25" s="172"/>
      <c r="D25" s="172"/>
      <c r="E25" s="172"/>
      <c r="F25" s="172"/>
      <c r="G25" s="172"/>
      <c r="H25" s="224"/>
      <c r="I25" s="224"/>
      <c r="J25" s="224"/>
      <c r="K25" s="224"/>
      <c r="L25" s="224"/>
      <c r="M25" s="224"/>
      <c r="N25" s="224"/>
      <c r="O25" s="347"/>
    </row>
    <row r="26" spans="1:15">
      <c r="A26" s="225" t="s">
        <v>68</v>
      </c>
      <c r="B26" s="158"/>
      <c r="C26" s="159" t="n">
        <v>46137</v>
      </c>
      <c r="D26" s="159" t="n">
        <v>46138</v>
      </c>
      <c r="E26" s="158" t="s">
        <v>53</v>
      </c>
      <c r="F26" s="158" t="s">
        <v>54</v>
      </c>
      <c r="G26" s="158" t="s">
        <v>69</v>
      </c>
      <c r="H26" s="187"/>
      <c r="I26" s="14" t="s">
        <v>70</v>
      </c>
      <c r="J26" s="25"/>
      <c r="K26" s="25"/>
      <c r="L26" s="15"/>
      <c r="M26" s="15"/>
      <c r="N26" s="358"/>
      <c r="O26" s="16"/>
    </row>
    <row r="27" spans="1:15">
      <c r="A27" s="227" t="s">
        <v>71</v>
      </c>
      <c r="B27" s="170"/>
      <c r="C27" s="298" t="n">
        <v>6026.61999999999989</v>
      </c>
      <c r="D27" s="298" t="n">
        <v>6084.97999999999956</v>
      </c>
      <c r="E27" s="298">
        <f>D27-C27</f>
        <v>58.3599999999996726</v>
      </c>
      <c r="F27" s="299">
        <f>E27/C27</f>
        <v>0.00968370330301225302</v>
      </c>
      <c r="G27" s="171">
        <f>RANK(D27,$D$27:$D$60,0)</f>
        <v>1</v>
      </c>
      <c r="H27" s="226"/>
      <c r="I27" s="17" t="s">
        <v>72</v>
      </c>
      <c r="J27" s="18" t="s">
        <v>73</v>
      </c>
      <c r="K27" s="18"/>
      <c r="L27" s="19" t="s">
        <v>74</v>
      </c>
      <c r="M27" s="19" t="s">
        <v>75</v>
      </c>
      <c r="N27" s="359" t="s">
        <v>53</v>
      </c>
      <c r="O27" s="348" t="s">
        <v>54</v>
      </c>
    </row>
    <row r="28" spans="1:15">
      <c r="A28" s="227" t="s">
        <v>76</v>
      </c>
      <c r="B28" s="170"/>
      <c r="C28" s="298" t="n">
        <v>3592.2199999999998</v>
      </c>
      <c r="D28" s="298" t="n">
        <v>3654</v>
      </c>
      <c r="E28" s="298">
        <f>D28-C28</f>
        <v>61.7800000000002001</v>
      </c>
      <c r="F28" s="299">
        <f>E28/C28</f>
        <v>0.0171982785018735518</v>
      </c>
      <c r="G28" s="171">
        <f>RANK(D28,$D$27:$D$60,0)</f>
        <v>2</v>
      </c>
      <c r="H28" s="226"/>
      <c r="I28" s="21" t="n">
        <v>1</v>
      </c>
      <c r="J28" s="26" t="s">
        <v>71</v>
      </c>
      <c r="K28" s="26"/>
      <c r="L28" s="13" t="n">
        <v>6026.61999999999989</v>
      </c>
      <c r="M28" s="13" t="n">
        <v>6084.97999999999956</v>
      </c>
      <c r="N28" s="360">
        <f>M28-L28</f>
        <v>58.3599999999996726</v>
      </c>
      <c r="O28" s="349">
        <f>N28/L28</f>
        <v>0.00968370330301225302</v>
      </c>
    </row>
    <row r="29" spans="1:15">
      <c r="A29" s="227" t="s">
        <v>77</v>
      </c>
      <c r="B29" s="170"/>
      <c r="C29" s="298" t="n">
        <v>2060.38000000000011</v>
      </c>
      <c r="D29" s="298" t="n">
        <v>2845.40999999999985</v>
      </c>
      <c r="E29" s="298">
        <f>D29-C29</f>
        <v>785.029999999999745</v>
      </c>
      <c r="F29" s="299">
        <f>E29/C29</f>
        <v>0.381012240460497509</v>
      </c>
      <c r="G29" s="171">
        <f>RANK(D29,$D$27:$D$60,0)</f>
        <v>3</v>
      </c>
      <c r="H29" s="226"/>
      <c r="I29" s="22" t="n">
        <v>2</v>
      </c>
      <c r="J29" s="30" t="s">
        <v>76</v>
      </c>
      <c r="K29" s="30"/>
      <c r="L29" s="12" t="n">
        <v>3592.2199999999998</v>
      </c>
      <c r="M29" s="12" t="n">
        <v>3654</v>
      </c>
      <c r="N29" s="361">
        <f>M29-L29</f>
        <v>61.7800000000002001</v>
      </c>
      <c r="O29" s="350">
        <f>N29/L29</f>
        <v>0.0171982785018735518</v>
      </c>
    </row>
    <row r="30" spans="1:15">
      <c r="A30" s="227" t="s">
        <v>78</v>
      </c>
      <c r="B30" s="170"/>
      <c r="C30" s="298" t="n">
        <v>2629.90000000000009</v>
      </c>
      <c r="D30" s="298" t="n">
        <v>2670.23999999999978</v>
      </c>
      <c r="E30" s="298">
        <f>D30-C30</f>
        <v>40.3399999999996908</v>
      </c>
      <c r="F30" s="299">
        <f>E30/C30</f>
        <v>0.0153389862732422122</v>
      </c>
      <c r="G30" s="171">
        <f>RANK(D30,$D$27:$D$60,0)</f>
        <v>4</v>
      </c>
      <c r="H30" s="226"/>
      <c r="I30" s="164" t="n">
        <v>3</v>
      </c>
      <c r="J30" s="27" t="s">
        <v>77</v>
      </c>
      <c r="K30" s="27"/>
      <c r="L30" s="165" t="n">
        <v>2060.38000000000011</v>
      </c>
      <c r="M30" s="165" t="n">
        <v>2845.40999999999985</v>
      </c>
      <c r="N30" s="362">
        <f>M30-L30</f>
        <v>785.029999999999745</v>
      </c>
      <c r="O30" s="351">
        <f>N30/L30</f>
        <v>0.381012240460497509</v>
      </c>
    </row>
    <row r="31" spans="1:15">
      <c r="A31" s="227" t="s">
        <v>79</v>
      </c>
      <c r="B31" s="170"/>
      <c r="C31" s="298" t="n">
        <v>2402.82000000000016</v>
      </c>
      <c r="D31" s="298" t="n">
        <v>2665.55000000000018</v>
      </c>
      <c r="E31" s="298">
        <f>D31-C31</f>
        <v>262.730000000000018</v>
      </c>
      <c r="F31" s="299">
        <f>E31/C31</f>
        <v>0.109342356064957013</v>
      </c>
      <c r="G31" s="171">
        <f>RANK(D31,$D$27:$D$60,0)</f>
        <v>5</v>
      </c>
      <c r="H31" s="226"/>
      <c r="I31" s="22" t="n">
        <v>4</v>
      </c>
      <c r="J31" s="30" t="s">
        <v>78</v>
      </c>
      <c r="K31" s="30"/>
      <c r="L31" s="12" t="n">
        <v>2629.90000000000009</v>
      </c>
      <c r="M31" s="12" t="n">
        <v>2670.23999999999978</v>
      </c>
      <c r="N31" s="361">
        <f>M31-L31</f>
        <v>40.3399999999996908</v>
      </c>
      <c r="O31" s="350">
        <f>N31/L31</f>
        <v>0.0153389862732422122</v>
      </c>
    </row>
    <row r="32" spans="1:15">
      <c r="A32" s="227" t="s">
        <v>80</v>
      </c>
      <c r="B32" s="170"/>
      <c r="C32" s="298" t="n">
        <v>2093.11000000000013</v>
      </c>
      <c r="D32" s="298" t="n">
        <v>2117.23999999999978</v>
      </c>
      <c r="E32" s="298">
        <f>D32-C32</f>
        <v>24.1299999999996544</v>
      </c>
      <c r="F32" s="299">
        <f>E32/C32</f>
        <v>0.0115282999937890018</v>
      </c>
      <c r="G32" s="171">
        <f>RANK(D32,$D$27:$D$60,0)</f>
        <v>6</v>
      </c>
      <c r="H32" s="226"/>
      <c r="I32" s="166" t="n">
        <v>5</v>
      </c>
      <c r="J32" s="28" t="s">
        <v>79</v>
      </c>
      <c r="K32" s="28"/>
      <c r="L32" s="167" t="n">
        <v>2402.82000000000016</v>
      </c>
      <c r="M32" s="167" t="n">
        <v>2665.55000000000018</v>
      </c>
      <c r="N32" s="363">
        <f>M32-L32</f>
        <v>262.730000000000018</v>
      </c>
      <c r="O32" s="352">
        <f>N32/L32</f>
        <v>0.109342356064957013</v>
      </c>
    </row>
    <row r="33" spans="1:15">
      <c r="A33" s="227" t="s">
        <v>81</v>
      </c>
      <c r="B33" s="170"/>
      <c r="C33" s="298" t="n">
        <v>1619.92000000000007</v>
      </c>
      <c r="D33" s="298" t="n">
        <v>1743.27999999999997</v>
      </c>
      <c r="E33" s="298">
        <f>D33-C33</f>
        <v>123.3599999999999</v>
      </c>
      <c r="F33" s="299">
        <f>E33/C33</f>
        <v>0.0761519087362338887</v>
      </c>
      <c r="G33" s="171">
        <f>RANK(D33,$D$27:$D$60,0)</f>
        <v>7</v>
      </c>
      <c r="H33" s="226"/>
      <c r="I33" s="22" t="n">
        <v>6</v>
      </c>
      <c r="J33" s="30" t="s">
        <v>80</v>
      </c>
      <c r="K33" s="30"/>
      <c r="L33" s="12" t="n">
        <v>2093.11000000000013</v>
      </c>
      <c r="M33" s="12" t="n">
        <v>2117.23999999999978</v>
      </c>
      <c r="N33" s="361">
        <f>M33-L33</f>
        <v>24.1299999999996544</v>
      </c>
      <c r="O33" s="350">
        <f>N33/L33</f>
        <v>0.0115282999937890018</v>
      </c>
    </row>
    <row r="34" spans="1:15">
      <c r="A34" s="227" t="s">
        <v>82</v>
      </c>
      <c r="B34" s="170"/>
      <c r="C34" s="298" t="n">
        <v>1528.72000000000003</v>
      </c>
      <c r="D34" s="298" t="n">
        <v>1605.18000000000006</v>
      </c>
      <c r="E34" s="298">
        <f>D34-C34</f>
        <v>76.4600000000000364</v>
      </c>
      <c r="F34" s="299">
        <f>E34/C34</f>
        <v>0.0500156994086556672</v>
      </c>
      <c r="G34" s="171">
        <f>RANK(D34,$D$27:$D$60,0)</f>
        <v>8</v>
      </c>
      <c r="H34" s="226"/>
      <c r="I34" s="168" t="n">
        <v>7</v>
      </c>
      <c r="J34" s="29" t="s">
        <v>81</v>
      </c>
      <c r="K34" s="29"/>
      <c r="L34" s="169" t="n">
        <v>1619.92000000000007</v>
      </c>
      <c r="M34" s="169" t="n">
        <v>1743.27999999999997</v>
      </c>
      <c r="N34" s="364">
        <f>M34-L34</f>
        <v>123.3599999999999</v>
      </c>
      <c r="O34" s="353">
        <f>N34/L34</f>
        <v>0.0761519087362338887</v>
      </c>
    </row>
    <row r="35" spans="1:15">
      <c r="A35" s="227" t="s">
        <v>83</v>
      </c>
      <c r="B35" s="170"/>
      <c r="C35" s="298" t="n">
        <v>1479.25999999999999</v>
      </c>
      <c r="D35" s="298" t="n">
        <v>1563.91000000000008</v>
      </c>
      <c r="E35" s="298">
        <f>D35-C35</f>
        <v>84.6500000000000909</v>
      </c>
      <c r="F35" s="299">
        <f>E35/C35</f>
        <v>0.0572245582250585549</v>
      </c>
      <c r="G35" s="171">
        <f>RANK(D35,$D$27:$D$60,0)</f>
        <v>9</v>
      </c>
      <c r="H35" s="226"/>
      <c r="I35" s="22" t="n">
        <v>8</v>
      </c>
      <c r="J35" s="30" t="s">
        <v>82</v>
      </c>
      <c r="K35" s="30"/>
      <c r="L35" s="12" t="n">
        <v>1528.72000000000003</v>
      </c>
      <c r="M35" s="12" t="n">
        <v>1605.18000000000006</v>
      </c>
      <c r="N35" s="361">
        <f>M35-L35</f>
        <v>76.4600000000000364</v>
      </c>
      <c r="O35" s="350">
        <f>N35/L35</f>
        <v>0.0500156994086556672</v>
      </c>
    </row>
    <row r="36" spans="1:15">
      <c r="A36" s="227" t="s">
        <v>84</v>
      </c>
      <c r="B36" s="170"/>
      <c r="C36" s="298" t="n">
        <v>1290.54999999999995</v>
      </c>
      <c r="D36" s="298" t="n">
        <v>1299.52999999999997</v>
      </c>
      <c r="E36" s="298">
        <f>D36-C36</f>
        <v>8.98000000000001819</v>
      </c>
      <c r="F36" s="299">
        <f>E36/C36</f>
        <v>0.00695827360427726305</v>
      </c>
      <c r="G36" s="171">
        <f>RANK(D36,$D$27:$D$60,0)</f>
        <v>10</v>
      </c>
      <c r="H36" s="226"/>
      <c r="I36" s="22" t="n">
        <v>9</v>
      </c>
      <c r="J36" s="30" t="s">
        <v>83</v>
      </c>
      <c r="K36" s="30"/>
      <c r="L36" s="12" t="n">
        <v>1479.25999999999999</v>
      </c>
      <c r="M36" s="12" t="n">
        <v>1563.91000000000008</v>
      </c>
      <c r="N36" s="361">
        <f>M36-L36</f>
        <v>84.6500000000000909</v>
      </c>
      <c r="O36" s="350">
        <f>N36/L36</f>
        <v>0.0572245582250585549</v>
      </c>
    </row>
    <row r="37" spans="1:15">
      <c r="A37" s="228" t="s">
        <v>85</v>
      </c>
      <c r="B37" s="160"/>
      <c r="C37" s="57" t="n">
        <v>1060.16000000000008</v>
      </c>
      <c r="D37" s="57" t="n">
        <v>1264.53999999999996</v>
      </c>
      <c r="E37" s="57">
        <f>D37-C37</f>
        <v>204.379999999999882</v>
      </c>
      <c r="F37" s="300">
        <f>E37/C37</f>
        <v>0.192782221551463895</v>
      </c>
      <c r="G37" s="56">
        <f>RANK(D37,$D$27:$D$60,0)</f>
        <v>11</v>
      </c>
      <c r="H37" s="226"/>
      <c r="I37" s="229" t="n">
        <v>10</v>
      </c>
      <c r="J37" s="230" t="s">
        <v>84</v>
      </c>
      <c r="K37" s="230"/>
      <c r="L37" s="231" t="n">
        <v>1290.54999999999995</v>
      </c>
      <c r="M37" s="231" t="n">
        <v>1299.52999999999997</v>
      </c>
      <c r="N37" s="365">
        <f>M37-L37</f>
        <v>8.98000000000001819</v>
      </c>
      <c r="O37" s="354">
        <f>N37/L37</f>
        <v>0.00695827360427726305</v>
      </c>
    </row>
    <row r="38" spans="1:15">
      <c r="A38" s="228" t="s">
        <v>86</v>
      </c>
      <c r="B38" s="160"/>
      <c r="C38" s="57" t="n">
        <v>726.190000000000055</v>
      </c>
      <c r="D38" s="57" t="n">
        <v>1008.77999999999997</v>
      </c>
      <c r="E38" s="57">
        <f>D38-C38</f>
        <v>282.589999999999918</v>
      </c>
      <c r="F38" s="300">
        <f>E38/C38</f>
        <v>0.389140583043005215</v>
      </c>
      <c r="G38" s="56">
        <f>RANK(D38,$D$27:$D$60,0)</f>
        <v>12</v>
      </c>
      <c r="H38" s="226"/>
      <c r="I38" s="31" t="s">
        <v>87</v>
      </c>
      <c r="J38" s="32"/>
      <c r="K38" s="32"/>
      <c r="L38" s="33"/>
      <c r="M38" s="33"/>
      <c r="N38" s="33"/>
      <c r="O38" s="34"/>
    </row>
    <row r="39" spans="1:15">
      <c r="A39" s="232" t="s">
        <v>88</v>
      </c>
      <c r="B39" s="161"/>
      <c r="C39" s="301" t="n">
        <v>1000.64999999999998</v>
      </c>
      <c r="D39" s="301" t="n">
        <v>967.549999999999955</v>
      </c>
      <c r="E39" s="301">
        <f>D39-C39</f>
        <v>-33.1000000000000227</v>
      </c>
      <c r="F39" s="302">
        <f>E39/C39</f>
        <v>-0.0330784989756658154</v>
      </c>
      <c r="G39" s="59">
        <f>RANK(D39,$D$27:$D$60,0)</f>
        <v>13</v>
      </c>
      <c r="H39" s="187"/>
      <c r="I39" s="233"/>
      <c r="J39" s="234"/>
      <c r="K39" s="234"/>
      <c r="L39" s="235"/>
      <c r="M39" s="235"/>
      <c r="N39" s="235"/>
      <c r="O39" s="236"/>
    </row>
    <row r="40" spans="1:8">
      <c r="A40" s="228" t="s">
        <v>89</v>
      </c>
      <c r="B40" s="160"/>
      <c r="C40" s="57" t="n">
        <v>783.529999999999859</v>
      </c>
      <c r="D40" s="57" t="n">
        <v>876.75</v>
      </c>
      <c r="E40" s="57">
        <f>D40-C40</f>
        <v>93.2200000000000273</v>
      </c>
      <c r="F40" s="300">
        <f>E40/C40</f>
        <v>0.118974385154365514</v>
      </c>
      <c r="G40" s="56">
        <f>RANK(D40,$D$27:$D$60,0)</f>
        <v>14</v>
      </c>
      <c r="H40" s="187"/>
    </row>
    <row r="41" spans="1:8">
      <c r="A41" s="228" t="s">
        <v>90</v>
      </c>
      <c r="B41" s="160"/>
      <c r="C41" s="57" t="n">
        <v>708.580000000000041</v>
      </c>
      <c r="D41" s="57" t="n">
        <v>745.379999999999995</v>
      </c>
      <c r="E41" s="57">
        <f>D41-C41</f>
        <v>36.7999999999999545</v>
      </c>
      <c r="F41" s="300">
        <f>E41/C41</f>
        <v>0.0519348556267464456</v>
      </c>
      <c r="G41" s="56">
        <f>RANK(D41,$D$27:$D$60,0)</f>
        <v>15</v>
      </c>
      <c r="H41" s="187"/>
    </row>
    <row r="42" spans="1:8">
      <c r="A42" s="228" t="s">
        <v>91</v>
      </c>
      <c r="B42" s="160"/>
      <c r="C42" s="57" t="n">
        <v>438.370000000000005</v>
      </c>
      <c r="D42" s="57" t="n">
        <v>731.980000000000018</v>
      </c>
      <c r="E42" s="57">
        <f>D42-C42</f>
        <v>293.610000000000014</v>
      </c>
      <c r="F42" s="300">
        <f>E42/C42</f>
        <v>0.669776672673768747</v>
      </c>
      <c r="G42" s="56">
        <f>RANK(D42,$D$27:$D$60,0)</f>
        <v>16</v>
      </c>
      <c r="H42" s="187"/>
    </row>
    <row r="43" spans="1:8">
      <c r="A43" s="228" t="s">
        <v>92</v>
      </c>
      <c r="B43" s="160"/>
      <c r="C43" s="57" t="n">
        <v>472.829999999999984</v>
      </c>
      <c r="D43" s="57" t="n">
        <v>695.549999999999955</v>
      </c>
      <c r="E43" s="57">
        <f>D43-C43</f>
        <v>222.71999999999997</v>
      </c>
      <c r="F43" s="300">
        <f>E43/C43</f>
        <v>0.471036101770192239</v>
      </c>
      <c r="G43" s="56">
        <f>RANK(D43,$D$27:$D$60,0)</f>
        <v>17</v>
      </c>
      <c r="H43" s="187"/>
    </row>
    <row r="44" spans="1:17">
      <c r="A44" s="228" t="s">
        <v>93</v>
      </c>
      <c r="B44" s="160"/>
      <c r="C44" s="57" t="n">
        <v>483.069999999999993</v>
      </c>
      <c r="D44" s="57" t="n">
        <v>629.259999999999991</v>
      </c>
      <c r="E44" s="57">
        <f>D44-C44</f>
        <v>146.189999999999998</v>
      </c>
      <c r="F44" s="300">
        <f>E44/C44</f>
        <v>0.302626948475376256</v>
      </c>
      <c r="G44" s="56">
        <f>RANK(D44,$D$27:$D$60,0)</f>
        <v>18</v>
      </c>
      <c r="H44" s="187"/>
      <c r="P44" s="295" t="s">
        <v>94</v>
      </c>
      <c r="Q44" s="293"/>
    </row>
    <row r="45" spans="1:17">
      <c r="A45" s="228" t="s">
        <v>95</v>
      </c>
      <c r="B45" s="160"/>
      <c r="C45" s="57" t="n">
        <v>520.279999999999973</v>
      </c>
      <c r="D45" s="57" t="n">
        <v>576.480000000000018</v>
      </c>
      <c r="E45" s="57">
        <f>D45-C45</f>
        <v>56.2000000000000455</v>
      </c>
      <c r="F45" s="300">
        <f>E45/C45</f>
        <v>0.108018759129699582</v>
      </c>
      <c r="G45" s="56">
        <f>RANK(D45,$D$27:$D$60,0)</f>
        <v>19</v>
      </c>
      <c r="H45" s="187"/>
      <c r="P45" s="366" t="s">
        <v>73</v>
      </c>
      <c r="Q45" s="294" t="s">
        <v>75</v>
      </c>
    </row>
    <row r="46" spans="1:17">
      <c r="A46" s="232" t="s">
        <v>96</v>
      </c>
      <c r="B46" s="161"/>
      <c r="C46" s="301" t="n">
        <v>641.049999999999955</v>
      </c>
      <c r="D46" s="301" t="n">
        <v>515.230000000000018</v>
      </c>
      <c r="E46" s="301">
        <f>D46-C46</f>
        <v>-125.819999999999936</v>
      </c>
      <c r="F46" s="302">
        <f>E46/C46</f>
        <v>-0.196271741673816393</v>
      </c>
      <c r="G46" s="59">
        <f>RANK(D46,$D$27:$D$60,0)</f>
        <v>20</v>
      </c>
      <c r="H46" s="187"/>
      <c r="P46" s="367" t="s">
        <v>97</v>
      </c>
      <c r="Q46" s="296" t="n">
        <v>1299.52999999999997</v>
      </c>
    </row>
    <row r="47" spans="1:17">
      <c r="A47" s="232" t="s">
        <v>98</v>
      </c>
      <c r="B47" s="161"/>
      <c r="C47" s="301" t="n">
        <v>380.050000000000011</v>
      </c>
      <c r="D47" s="301" t="n">
        <v>376.899999999999977</v>
      </c>
      <c r="E47" s="301">
        <f>D47-C47</f>
        <v>-3.15000000000003411</v>
      </c>
      <c r="F47" s="302">
        <f>E47/C47</f>
        <v>-0.00828838310748593621</v>
      </c>
      <c r="G47" s="59">
        <f>RANK(D47,$D$27:$D$60,0)</f>
        <v>21</v>
      </c>
      <c r="H47" s="187"/>
      <c r="P47" s="367" t="s">
        <v>99</v>
      </c>
      <c r="Q47" s="296" t="n">
        <v>1563.91000000000008</v>
      </c>
    </row>
    <row r="48" spans="1:17">
      <c r="A48" s="228" t="s">
        <v>100</v>
      </c>
      <c r="B48" s="160"/>
      <c r="C48" s="57" t="n">
        <v>290.389999999999986</v>
      </c>
      <c r="D48" s="57" t="n">
        <v>361.54000000000002</v>
      </c>
      <c r="E48" s="57">
        <f>D48-C48</f>
        <v>71.1500000000000341</v>
      </c>
      <c r="F48" s="300">
        <f>E48/C48</f>
        <v>0.245015324219153596</v>
      </c>
      <c r="G48" s="56">
        <f>RANK(D48,$D$27:$D$60,0)</f>
        <v>22</v>
      </c>
      <c r="H48" s="187"/>
      <c r="P48" s="367" t="s">
        <v>101</v>
      </c>
      <c r="Q48" s="296" t="n">
        <v>1605.18000000000006</v>
      </c>
    </row>
    <row r="49" spans="1:17">
      <c r="A49" s="228" t="s">
        <v>102</v>
      </c>
      <c r="B49" s="160"/>
      <c r="C49" s="57" t="n">
        <v>241.139999999999986</v>
      </c>
      <c r="D49" s="57" t="n">
        <v>310.860000000000014</v>
      </c>
      <c r="E49" s="57">
        <f>D49-C49</f>
        <v>69.7200000000000273</v>
      </c>
      <c r="F49" s="300">
        <f>E49/C49</f>
        <v>0.289126648420004972</v>
      </c>
      <c r="G49" s="56">
        <f>RANK(D49,$D$27:$D$60,0)</f>
        <v>23</v>
      </c>
      <c r="H49" s="187"/>
      <c r="P49" s="367" t="s">
        <v>103</v>
      </c>
      <c r="Q49" s="296" t="n">
        <v>1743.27999999999997</v>
      </c>
    </row>
    <row r="50" spans="1:17">
      <c r="A50" s="228" t="s">
        <v>104</v>
      </c>
      <c r="B50" s="160"/>
      <c r="C50" s="57" t="n">
        <v>177.430000000000007</v>
      </c>
      <c r="D50" s="57" t="n">
        <v>286.54000000000002</v>
      </c>
      <c r="E50" s="57">
        <f>D50-C50</f>
        <v>109.110000000000014</v>
      </c>
      <c r="F50" s="300">
        <f>E50/C50</f>
        <v>0.614946739559262845</v>
      </c>
      <c r="G50" s="56">
        <f>RANK(D50,$D$27:$D$60,0)</f>
        <v>24</v>
      </c>
      <c r="H50" s="187"/>
      <c r="P50" s="367" t="s">
        <v>105</v>
      </c>
      <c r="Q50" s="296" t="n">
        <v>2117.23999999999978</v>
      </c>
    </row>
    <row r="51" spans="1:17">
      <c r="A51" s="228" t="s">
        <v>106</v>
      </c>
      <c r="B51" s="160"/>
      <c r="C51" s="57" t="n">
        <v>183.780000000000001</v>
      </c>
      <c r="D51" s="57" t="n">
        <v>279.980000000000018</v>
      </c>
      <c r="E51" s="57">
        <f>D51-C51</f>
        <v>96.2000000000000171</v>
      </c>
      <c r="F51" s="300">
        <f>E51/C51</f>
        <v>0.523451953422570426</v>
      </c>
      <c r="G51" s="56">
        <f>RANK(D51,$D$27:$D$60,0)</f>
        <v>25</v>
      </c>
      <c r="H51" s="187"/>
      <c r="J51" s="35"/>
      <c r="K51" s="35"/>
      <c r="L51" s="11"/>
      <c r="P51" s="367" t="s">
        <v>107</v>
      </c>
      <c r="Q51" s="296" t="n">
        <v>2665.55000000000018</v>
      </c>
    </row>
    <row r="52" spans="1:17">
      <c r="A52" s="237" t="s">
        <v>108</v>
      </c>
      <c r="B52" s="162"/>
      <c r="C52" s="301" t="n">
        <v>233.659999999999997</v>
      </c>
      <c r="D52" s="301" t="n">
        <v>210.879999999999995</v>
      </c>
      <c r="E52" s="301">
        <f>D52-C52</f>
        <v>-22.7800000000000011</v>
      </c>
      <c r="F52" s="302">
        <f>E52/C52</f>
        <v>-0.0974920825130531732</v>
      </c>
      <c r="G52" s="59">
        <f>RANK(D52,$D$27:$D$60,0)</f>
        <v>26</v>
      </c>
      <c r="H52" s="187"/>
      <c r="P52" s="367" t="s">
        <v>109</v>
      </c>
      <c r="Q52" s="296" t="n">
        <v>2670.23999999999978</v>
      </c>
    </row>
    <row r="53" spans="1:17">
      <c r="A53" s="228" t="s">
        <v>110</v>
      </c>
      <c r="B53" s="160"/>
      <c r="C53" s="57" t="n">
        <v>86.0799999999999983</v>
      </c>
      <c r="D53" s="57" t="n">
        <v>141.77000000000001</v>
      </c>
      <c r="E53" s="57">
        <f>D53-C53</f>
        <v>55.6900000000000119</v>
      </c>
      <c r="F53" s="300">
        <f>E53/C53</f>
        <v>0.6469563197026023</v>
      </c>
      <c r="G53" s="56">
        <f>RANK(D53,$D$27:$D$60,0)</f>
        <v>27</v>
      </c>
      <c r="H53" s="187"/>
      <c r="P53" s="367" t="s">
        <v>111</v>
      </c>
      <c r="Q53" s="296" t="n">
        <v>2845.40999999999985</v>
      </c>
    </row>
    <row r="54" spans="1:17">
      <c r="A54" s="228" t="s">
        <v>112</v>
      </c>
      <c r="B54" s="160"/>
      <c r="C54" s="57" t="n">
        <v>87.6599999999999824</v>
      </c>
      <c r="D54" s="57" t="n">
        <v>106.470000000000013</v>
      </c>
      <c r="E54" s="57">
        <f>D54-C54</f>
        <v>18.8100000000000023</v>
      </c>
      <c r="F54" s="300">
        <f>E54/C54</f>
        <v>0.214579055441478417</v>
      </c>
      <c r="G54" s="56">
        <f>RANK(D54,$D$27:$D$60,0)</f>
        <v>28</v>
      </c>
      <c r="H54" s="187"/>
      <c r="P54" s="367" t="s">
        <v>113</v>
      </c>
      <c r="Q54" s="296" t="n">
        <v>3654</v>
      </c>
    </row>
    <row r="55" spans="1:17">
      <c r="A55" s="228" t="s">
        <v>114</v>
      </c>
      <c r="B55" s="160"/>
      <c r="C55" s="57" t="n">
        <v>0.4</v>
      </c>
      <c r="D55" s="57" t="n">
        <v>17.9100000000000001</v>
      </c>
      <c r="E55" s="57">
        <f>D55-C55</f>
        <v>17.5100000000000016</v>
      </c>
      <c r="F55" s="300">
        <f>E55/C55</f>
        <v>43.7749999999999986</v>
      </c>
      <c r="G55" s="56">
        <f>RANK(D55,$D$27:$D$60,0)</f>
        <v>29</v>
      </c>
      <c r="H55" s="187"/>
      <c r="P55" s="368" t="s">
        <v>115</v>
      </c>
      <c r="Q55" s="297" t="n">
        <v>6084.97999999999956</v>
      </c>
    </row>
    <row r="56" spans="1:8">
      <c r="A56" s="228" t="s">
        <v>116</v>
      </c>
      <c r="B56" s="160"/>
      <c r="C56" s="57" t="n">
        <v>5.78000000000000025</v>
      </c>
      <c r="D56" s="57" t="n">
        <v>16.4800000000000004</v>
      </c>
      <c r="E56" s="57">
        <f>D56-C56</f>
        <v>10.6999999999999993</v>
      </c>
      <c r="F56" s="300">
        <f>E56/C56</f>
        <v>1.85121107266435949</v>
      </c>
      <c r="G56" s="56">
        <f>RANK(D56,$D$27:$D$60,0)</f>
        <v>30</v>
      </c>
      <c r="H56" s="187"/>
    </row>
    <row r="57" spans="1:8">
      <c r="A57" s="232" t="s">
        <v>117</v>
      </c>
      <c r="B57" s="161"/>
      <c r="C57" s="301" t="n">
        <v>22.6900000000000013</v>
      </c>
      <c r="D57" s="301" t="n">
        <v>15.4700000000000006</v>
      </c>
      <c r="E57" s="301">
        <f>D57-C57</f>
        <v>-7.22000000000000064</v>
      </c>
      <c r="F57" s="302">
        <f>E57/C57</f>
        <v>-0.318201851035698535</v>
      </c>
      <c r="G57" s="59">
        <f>RANK(D57,$D$27:$D$60,0)</f>
        <v>31</v>
      </c>
      <c r="H57" s="187"/>
    </row>
    <row r="58" spans="1:8">
      <c r="A58" s="232" t="s">
        <v>118</v>
      </c>
      <c r="B58" s="161"/>
      <c r="C58" s="301" t="n">
        <v>3.37999999999999989</v>
      </c>
      <c r="D58" s="301" t="n">
        <v>13.0900000000000016</v>
      </c>
      <c r="E58" s="301">
        <f>D58-C58</f>
        <v>9.71000000000000085</v>
      </c>
      <c r="F58" s="302">
        <f>E58/C58</f>
        <v>2.87278106508875766</v>
      </c>
      <c r="G58" s="59">
        <f>RANK(D58,$D$27:$D$60,0)</f>
        <v>32</v>
      </c>
      <c r="H58" s="187"/>
    </row>
    <row r="59" spans="1:14">
      <c r="A59" s="232" t="s">
        <v>119</v>
      </c>
      <c r="B59" s="161"/>
      <c r="C59" s="301" t="n">
        <v>16.370000000000001</v>
      </c>
      <c r="D59" s="301" t="n">
        <v>12.9700000000000006</v>
      </c>
      <c r="E59" s="301">
        <f>D59-C59</f>
        <v>-3.40000000000000036</v>
      </c>
      <c r="F59" s="302">
        <f>E59/C59</f>
        <v>-0.207697006719609023</v>
      </c>
      <c r="G59" s="59">
        <f>RANK(D59,$D$27:$D$60,0)</f>
        <v>33</v>
      </c>
      <c r="H59" s="187"/>
      <c r="J59" s="36"/>
      <c r="K59" s="37"/>
      <c r="L59" s="37"/>
      <c r="M59" s="37"/>
      <c r="N59" s="36"/>
    </row>
    <row r="60" spans="1:8">
      <c r="A60" s="232" t="s">
        <v>120</v>
      </c>
      <c r="B60" s="161"/>
      <c r="C60" s="301" t="n">
        <v>306.480000000000018</v>
      </c>
      <c r="D60" s="301" t="n">
        <v>6</v>
      </c>
      <c r="E60" s="301">
        <f>D60-C60</f>
        <v>-300.480000000000018</v>
      </c>
      <c r="F60" s="302">
        <f>E60/C60</f>
        <v>-0.980422866092404099</v>
      </c>
      <c r="G60" s="59">
        <f>RANK(D60,$D$27:$D$60,0)</f>
        <v>34</v>
      </c>
      <c r="H60" s="187"/>
    </row>
    <row r="61" spans="1:8">
      <c r="A61" s="209"/>
      <c r="B61" s="184"/>
      <c r="C61" s="184"/>
      <c r="D61" s="184"/>
      <c r="E61" s="184"/>
      <c r="F61" s="184"/>
      <c r="G61" s="184"/>
      <c r="H61" s="179"/>
    </row>
    <row r="62" spans="1:15">
      <c r="A62" s="249" t="s">
        <v>121</v>
      </c>
      <c r="B62" s="246"/>
      <c r="C62" s="246"/>
      <c r="D62" s="246"/>
      <c r="E62" s="246"/>
      <c r="F62" s="246"/>
      <c r="G62" s="246"/>
      <c r="H62" s="247"/>
      <c r="I62" s="250"/>
      <c r="J62" s="255" t="s">
        <v>122</v>
      </c>
      <c r="K62" s="246"/>
      <c r="L62" s="246"/>
      <c r="M62" s="246"/>
      <c r="N62" s="246"/>
      <c r="O62" s="226"/>
    </row>
    <row r="63" spans="1:15">
      <c r="A63" s="244"/>
      <c r="B63" s="245"/>
      <c r="C63" s="245"/>
      <c r="D63" s="245"/>
      <c r="E63" s="245"/>
      <c r="F63" s="245"/>
      <c r="G63" s="245"/>
      <c r="H63" s="248"/>
      <c r="I63" s="250"/>
      <c r="J63" s="256"/>
      <c r="K63" s="243"/>
      <c r="L63" s="243"/>
      <c r="M63" s="243"/>
      <c r="N63" s="243"/>
      <c r="O63" s="226"/>
    </row>
    <row r="64" spans="1:15" ht="40.25" customHeight="1">
      <c r="A64" s="241"/>
      <c r="B64" s="242"/>
      <c r="C64" s="242"/>
      <c r="D64" s="242"/>
      <c r="E64" s="242"/>
      <c r="F64" s="242"/>
      <c r="G64" s="242"/>
      <c r="H64" s="251"/>
      <c r="I64" s="252"/>
      <c r="J64" s="257"/>
      <c r="K64" s="253"/>
      <c r="L64" s="254"/>
      <c r="M64" s="254"/>
      <c r="N64" s="254"/>
      <c r="O64" s="355"/>
    </row>
    <row r="66" spans="1:15" ht="25.05" customHeight="1">
      <c r="A66" s="286" t="s">
        <v>123</v>
      </c>
      <c r="B66" s="287"/>
      <c r="C66" s="287"/>
      <c r="D66" s="287"/>
      <c r="E66" s="287"/>
      <c r="F66" s="287"/>
      <c r="G66" s="287"/>
      <c r="H66" s="287"/>
      <c r="I66" s="288"/>
      <c r="J66" s="288"/>
      <c r="K66" s="288"/>
      <c r="L66" s="288"/>
      <c r="M66" s="288"/>
      <c r="N66" s="288"/>
      <c r="O66" s="289"/>
    </row>
    <row r="67" spans="1:1">
      <c r="A67" s="238"/>
    </row>
    <row r="68" spans="1:6" ht="20.75" customHeight="1">
      <c r="A68" s="290" t="s">
        <v>124</v>
      </c>
      <c r="B68" s="291"/>
      <c r="C68" s="291"/>
      <c r="D68" s="291"/>
      <c r="E68" s="291"/>
      <c r="F68" s="291"/>
    </row>
    <row r="69" spans="1:6">
      <c r="A69" s="285" t="s">
        <v>52</v>
      </c>
      <c r="B69" s="285"/>
      <c r="C69" s="285"/>
      <c r="D69" s="292" t="s">
        <v>54</v>
      </c>
      <c r="E69" s="292"/>
      <c r="F69" s="292"/>
    </row>
    <row r="70" spans="1:6">
      <c r="A70" s="282" t="s">
        <v>55</v>
      </c>
      <c r="B70" s="282"/>
      <c r="C70" s="282"/>
      <c r="D70" s="283" t="n">
        <v>-0.309200000000000097</v>
      </c>
      <c r="E70" s="284"/>
      <c r="F70" s="284"/>
    </row>
    <row r="71" spans="1:6">
      <c r="A71" s="282" t="s">
        <v>56</v>
      </c>
      <c r="B71" s="282"/>
      <c r="C71" s="282"/>
      <c r="D71" s="283" t="n">
        <v>0.216100000000000003</v>
      </c>
      <c r="E71" s="284"/>
      <c r="F71" s="284"/>
    </row>
    <row r="72" spans="1:6">
      <c r="A72" s="282" t="s">
        <v>57</v>
      </c>
      <c r="B72" s="282"/>
      <c r="C72" s="282"/>
      <c r="D72" s="283" t="n">
        <v>0.336300000000000043</v>
      </c>
      <c r="E72" s="284"/>
      <c r="F72" s="284"/>
    </row>
    <row r="73" spans="1:6">
      <c r="A73" s="282" t="s">
        <v>58</v>
      </c>
      <c r="B73" s="282"/>
      <c r="C73" s="282"/>
      <c r="D73" s="283" t="n">
        <v>0.15629999999999999</v>
      </c>
      <c r="E73" s="284"/>
      <c r="F73" s="284"/>
    </row>
    <row r="74" spans="1:8">
      <c r="A74" s="239"/>
      <c r="B74" s="179"/>
      <c r="C74" s="179"/>
      <c r="D74" s="179"/>
      <c r="E74" s="179"/>
      <c r="F74" s="179"/>
      <c r="G74" s="179"/>
      <c r="H74" s="179"/>
    </row>
    <row r="75" spans="1:9" ht="49.40" customHeight="1">
      <c r="A75" s="276" t="s">
        <v>125</v>
      </c>
      <c r="B75" s="277"/>
      <c r="C75" s="277"/>
      <c r="D75" s="278"/>
      <c r="E75" s="279"/>
      <c r="F75" s="280"/>
      <c r="G75" s="280"/>
      <c r="H75" s="281"/>
      <c r="I75" s="250"/>
    </row>
    <row r="76" spans="1:8">
      <c r="A76" s="209"/>
      <c r="B76" s="184"/>
      <c r="C76" s="184"/>
      <c r="D76" s="184"/>
      <c r="E76" s="185"/>
      <c r="F76" s="185"/>
      <c r="G76" s="185"/>
      <c r="H76" s="185"/>
    </row>
    <row r="77" spans="1:5">
      <c r="A77" s="270" t="s">
        <v>126</v>
      </c>
      <c r="B77" s="264"/>
      <c r="C77" s="184"/>
      <c r="D77" s="263"/>
      <c r="E77" s="187"/>
    </row>
    <row r="78" spans="1:8" ht="17.75" customHeight="1">
      <c r="A78" s="271" t="s">
        <v>127</v>
      </c>
      <c r="B78" s="266"/>
      <c r="C78" s="267"/>
      <c r="D78" s="268"/>
      <c r="E78" s="178"/>
      <c r="F78" s="179"/>
      <c r="G78" s="179"/>
      <c r="H78" s="179"/>
    </row>
    <row r="79" spans="1:9" ht="42" customHeight="1">
      <c r="A79" s="272" t="s">
        <v>128</v>
      </c>
      <c r="B79" s="258"/>
      <c r="C79" s="258"/>
      <c r="D79" s="258"/>
      <c r="E79" s="258"/>
      <c r="F79" s="258"/>
      <c r="G79" s="261"/>
      <c r="H79" s="262"/>
      <c r="I79" s="250"/>
    </row>
    <row r="80" spans="1:8">
      <c r="A80" s="271" t="s">
        <v>129</v>
      </c>
      <c r="B80" s="265"/>
      <c r="C80" s="267"/>
      <c r="D80" s="268"/>
      <c r="E80" s="183"/>
      <c r="F80" s="184"/>
      <c r="G80" s="184"/>
      <c r="H80" s="184"/>
    </row>
    <row r="81" spans="1:9">
      <c r="A81" s="273" t="s">
        <v>130</v>
      </c>
      <c r="B81" s="269"/>
      <c r="C81" s="269"/>
      <c r="D81" s="269"/>
      <c r="E81" s="269"/>
      <c r="F81" s="269"/>
      <c r="G81" s="259"/>
      <c r="H81" s="260"/>
      <c r="I81" s="250"/>
    </row>
    <row r="82" spans="1:8">
      <c r="A82" s="271" t="s">
        <v>131</v>
      </c>
      <c r="B82" s="265"/>
      <c r="C82" s="267"/>
      <c r="D82" s="268"/>
      <c r="E82" s="183"/>
      <c r="F82" s="184"/>
      <c r="G82" s="184"/>
      <c r="H82" s="184"/>
    </row>
    <row r="83" spans="1:9">
      <c r="A83" s="273" t="s">
        <v>132</v>
      </c>
      <c r="B83" s="269"/>
      <c r="C83" s="269"/>
      <c r="D83" s="269"/>
      <c r="E83" s="269"/>
      <c r="F83" s="269"/>
      <c r="G83" s="259"/>
      <c r="H83" s="260"/>
      <c r="I83" s="250"/>
    </row>
    <row r="84" spans="1:15">
      <c r="A84" s="274"/>
      <c r="B84" s="275"/>
      <c r="C84" s="275"/>
      <c r="D84" s="275"/>
      <c r="E84" s="275"/>
      <c r="F84" s="275"/>
      <c r="G84" s="275"/>
      <c r="H84" s="275"/>
      <c r="I84" s="240"/>
      <c r="J84" s="218"/>
      <c r="K84" s="218"/>
      <c r="L84" s="219"/>
      <c r="M84" s="219"/>
      <c r="N84" s="219"/>
      <c r="O84" s="220"/>
    </row>
  </sheetData>
  <mergeCells count="81">
    <mergeCell ref="A1:O1"/>
    <mergeCell ref="A3:O3"/>
    <mergeCell ref="A4:E4"/>
    <mergeCell ref="A5:O5"/>
    <mergeCell ref="A7:I7"/>
    <mergeCell ref="B8:C8"/>
    <mergeCell ref="D8:E8"/>
    <mergeCell ref="F8:G8"/>
    <mergeCell ref="H8:I8"/>
    <mergeCell ref="B9:C9"/>
    <mergeCell ref="D9:E9"/>
    <mergeCell ref="F9:G9"/>
    <mergeCell ref="H9:I9"/>
    <mergeCell ref="B10:C10"/>
    <mergeCell ref="D10:E10"/>
    <mergeCell ref="F10:G10"/>
    <mergeCell ref="H10:I10"/>
    <mergeCell ref="B11:C11"/>
    <mergeCell ref="D11:E11"/>
    <mergeCell ref="F11:G11"/>
    <mergeCell ref="H11:I11"/>
    <mergeCell ref="B12:C12"/>
    <mergeCell ref="D12:E12"/>
    <mergeCell ref="F12:G12"/>
    <mergeCell ref="H12:I12"/>
    <mergeCell ref="A14:C14"/>
    <mergeCell ref="D14:E14"/>
    <mergeCell ref="A15:C15"/>
    <mergeCell ref="D15:E15"/>
    <mergeCell ref="A16:C16"/>
    <mergeCell ref="D16:E16"/>
    <mergeCell ref="A17:C17"/>
    <mergeCell ref="D17:E17"/>
    <mergeCell ref="A18:C18"/>
    <mergeCell ref="D18:E18"/>
    <mergeCell ref="A20:I21"/>
    <mergeCell ref="A22:I22"/>
    <mergeCell ref="A24:O24"/>
    <mergeCell ref="A26:B26"/>
    <mergeCell ref="I26:O26"/>
    <mergeCell ref="J27:K27"/>
    <mergeCell ref="J28:K28"/>
    <mergeCell ref="J29:K29"/>
    <mergeCell ref="J30:K30"/>
    <mergeCell ref="J31:K31"/>
    <mergeCell ref="J32:K32"/>
    <mergeCell ref="J33:K33"/>
    <mergeCell ref="A34:B34"/>
    <mergeCell ref="J34:K34"/>
    <mergeCell ref="J35:K35"/>
    <mergeCell ref="J36:K36"/>
    <mergeCell ref="J37:K37"/>
    <mergeCell ref="A38:B38"/>
    <mergeCell ref="I38:O38"/>
    <mergeCell ref="P44:Q44"/>
    <mergeCell ref="A50:B50"/>
    <mergeCell ref="A52:B52"/>
    <mergeCell ref="A54:B54"/>
    <mergeCell ref="A60:B60"/>
    <mergeCell ref="A62:H64"/>
    <mergeCell ref="J62:N64"/>
    <mergeCell ref="A66:O66"/>
    <mergeCell ref="A68:F68"/>
    <mergeCell ref="A69:C69"/>
    <mergeCell ref="D69:F69"/>
    <mergeCell ref="A70:C70"/>
    <mergeCell ref="D70:F70"/>
    <mergeCell ref="A71:C71"/>
    <mergeCell ref="D71:F71"/>
    <mergeCell ref="A72:C72"/>
    <mergeCell ref="D72:F72"/>
    <mergeCell ref="A73:C73"/>
    <mergeCell ref="D73:F73"/>
    <mergeCell ref="A75:H75"/>
    <mergeCell ref="A77:D77"/>
    <mergeCell ref="A78:D78"/>
    <mergeCell ref="A79:H79"/>
    <mergeCell ref="A80:D80"/>
    <mergeCell ref="A81:H81"/>
    <mergeCell ref="A82:D82"/>
    <mergeCell ref="A83:H83"/>
  </mergeCells>
  <printOptions>
    <extLst>
      <ext uri="smNativeData">
        <pm:pageFlags xmlns:pm="smNativeData" id="1780841053" printRowHead="0" printColHead="0" printHeadLine="0" printFootLine="0" autoHeightHeader="0" autoHeightFooter="0" fitToPageBoth="0"/>
      </ext>
    </extLst>
  </printOptions>
  <pageMargins left="1.000000" right="1.000000" top="1.000000" bottom="1.000000" header="0.393750" footer="0.393750"/>
  <pageSetup paperSize="1" fitToWidth="0" fitToHeight="1" pageOrder="overThenDown"/>
  <headerFooter>
    <extLst>
      <ext uri="smNativeData">
        <pm:header xmlns:pm="smNativeData" id="1780841053" l="56" r="56" t="56" b="56" borderId="0" fillId="0" vertical="0"/>
        <pm:footer xmlns:pm="smNativeData" id="1780841053" l="56" r="56" t="56" b="56" borderId="0" fillId="0" vertical="2"/>
        <pm:paperBin xmlns:pm="smNativeData" id="1780841053" Id="0" type="0" value="0"/>
        <pm:paperBin xmlns:pm="smNativeData" id="1780841053" Id="1" type="0" value="0"/>
      </ext>
    </extLst>
  </headerFooter>
  <drawing r:id="rId1"/>
  <extLst>
    <ext uri="smNativeData">
      <pm:sheetPrefs xmlns:pm="smNativeData" day="1780841053" outlineProtect="1" showHorizontalRuler="1" showVerticalRuler="1" showAltShade="0">
        <pm:shade id="0" type="0" fgLvl="100" fgClr="000000" bgLvl="100" bgClr="FFFFFF"/>
        <pm:shade id="1" type="0" fgLvl="100" fgClr="000000" bgLvl="100" bgClr="FFFFFF"/>
      </pm:sheetPrefs>
    </ext>
  </extLst>
</worksheet>
</file>

<file path=xl/worksheets/sheet4.xml><?xml version="1.0" encoding="utf-8"?>
<worksheet xmlns="http://schemas.openxmlformats.org/spreadsheetml/2006/main" xmlns:r="http://schemas.openxmlformats.org/officeDocument/2006/relationships" xmlns:mc="http://schemas.openxmlformats.org/markup-compatibility/2006">
  <dimension ref="A1:I35"/>
  <sheetViews>
    <sheetView view="normal" zoomScale="75" workbookViewId="0">
      <selection activeCell="K24" sqref="K24"/>
    </sheetView>
  </sheetViews>
  <sheetFormatPr baseColWidth="9" defaultColWidth="10.000000" defaultRowHeight="13.45"/>
  <cols>
    <col min="1" max="1" width="14.657658" customWidth="1"/>
    <col min="2" max="2" width="16.369369" customWidth="1"/>
    <col min="3" max="3" width="16.009009" customWidth="1"/>
    <col min="4" max="4" width="15.819820" customWidth="1"/>
    <col min="5" max="5" width="14.684685" customWidth="1"/>
    <col min="6" max="6" width="16.576577" customWidth="1"/>
    <col min="7" max="7" width="46.027027" customWidth="1" style="10"/>
    <col min="8" max="8" width="27.945946" customWidth="1" style="10"/>
    <col min="9" max="9" width="27.360360" customWidth="1" style="10"/>
  </cols>
  <sheetData>
    <row r="1" spans="1:9" ht="21.80" customHeight="1">
      <c r="A1" s="72" t="s">
        <v>133</v>
      </c>
      <c r="B1" s="72"/>
      <c r="C1" s="72"/>
      <c r="D1" s="72"/>
      <c r="E1" s="72"/>
      <c r="F1" s="72"/>
      <c r="G1" s="73"/>
      <c r="H1" s="74"/>
      <c r="I1" s="74"/>
    </row>
    <row r="2" spans="1:9" s="52" customFormat="1" ht="16.60" customHeight="1">
      <c r="A2" s="75" t="s">
        <v>134</v>
      </c>
      <c r="B2" s="75"/>
      <c r="C2" s="75"/>
      <c r="D2" s="75"/>
      <c r="E2" s="75"/>
      <c r="F2" s="75"/>
      <c r="G2" s="76"/>
      <c r="H2" s="77"/>
      <c r="I2" s="77"/>
    </row>
    <row r="4" spans="1:6" ht="17.45" customHeight="1">
      <c r="A4" s="70" t="s">
        <v>135</v>
      </c>
      <c r="B4" s="71" t="s">
        <v>136</v>
      </c>
      <c r="C4" s="71"/>
      <c r="D4" s="71"/>
      <c r="E4" s="71"/>
      <c r="F4" s="71"/>
    </row>
    <row r="5" spans="1:6" ht="17.45" customHeight="1">
      <c r="A5" s="70" t="s">
        <v>137</v>
      </c>
      <c r="B5" s="71" t="s">
        <v>138</v>
      </c>
      <c r="C5" s="71"/>
      <c r="D5" s="71"/>
      <c r="E5" s="71"/>
      <c r="F5" s="71"/>
    </row>
    <row r="6" spans="1:7" ht="17.45" customHeight="1">
      <c r="A6" s="70" t="s">
        <v>139</v>
      </c>
      <c r="B6" s="71" t="s">
        <v>140</v>
      </c>
      <c r="C6" s="71"/>
      <c r="D6" s="71"/>
      <c r="E6" s="71"/>
      <c r="F6" s="71"/>
      <c r="G6" s="53"/>
    </row>
    <row r="7" spans="1:6" ht="17.45" customHeight="1">
      <c r="A7" s="70" t="s">
        <v>59</v>
      </c>
      <c r="B7" s="71" t="s">
        <v>141</v>
      </c>
      <c r="C7" s="71"/>
      <c r="D7" s="71"/>
      <c r="E7" s="71"/>
      <c r="F7" s="71"/>
    </row>
    <row r="8" spans="1:6" ht="17.45" customHeight="1">
      <c r="A8" s="70" t="s">
        <v>142</v>
      </c>
      <c r="B8" s="71" t="s">
        <v>143</v>
      </c>
      <c r="C8" s="71"/>
      <c r="D8" s="71"/>
      <c r="E8" s="71"/>
      <c r="F8" s="71"/>
    </row>
    <row r="10" spans="1:9" s="51" customFormat="1" ht="24.80" customHeight="1">
      <c r="A10" s="54" t="s">
        <v>52</v>
      </c>
      <c r="B10" s="54" t="s">
        <v>144</v>
      </c>
      <c r="C10" s="54" t="s">
        <v>145</v>
      </c>
      <c r="D10" s="54" t="s">
        <v>146</v>
      </c>
      <c r="E10" s="54" t="s">
        <v>147</v>
      </c>
      <c r="F10" s="54" t="s">
        <v>148</v>
      </c>
      <c r="G10" s="55" t="s">
        <v>149</v>
      </c>
      <c r="H10" s="55" t="s">
        <v>137</v>
      </c>
      <c r="I10" s="55" t="s">
        <v>150</v>
      </c>
    </row>
    <row r="11" spans="1:9" s="38" customFormat="1" ht="54.25" customHeight="1">
      <c r="A11" s="120" t="str">
        <f>Raw_IRDAI!A6</f>
        <v>Fire</v>
      </c>
      <c r="B11" s="57">
        <f>Raw_IRDAI!F6</f>
        <v>78.3299999999999983</v>
      </c>
      <c r="C11" s="57">
        <f>Raw_IRDAI!K6</f>
        <v>72.9300000000000068</v>
      </c>
      <c r="D11" s="57">
        <f>(C11-B11)</f>
        <v>-5.39999999999999147</v>
      </c>
      <c r="E11" s="56" t="str">
        <f>IF(D11&gt;1,"Worsening",IF(D11&lt;-1,"Improving","Stable"))</f>
        <v>Improving</v>
      </c>
      <c r="F11" s="60" t="str">
        <f>IF(C11&gt;=85,"High",IF(C11&gt;=75,"Medium","Controlled"))</f>
        <v>Controlled</v>
      </c>
      <c r="G11" s="58" t="s">
        <v>151</v>
      </c>
      <c r="H11" s="58" t="s">
        <v>152</v>
      </c>
      <c r="I11" s="58" t="s">
        <v>153</v>
      </c>
    </row>
    <row r="12" spans="1:9" s="38" customFormat="1" ht="54.25" customHeight="1">
      <c r="A12" s="120" t="str">
        <f>Raw_IRDAI!A7</f>
        <v>Marine</v>
      </c>
      <c r="B12" s="57">
        <f>Raw_IRDAI!F7</f>
        <v>72.3900000000000006</v>
      </c>
      <c r="C12" s="57">
        <f>Raw_IRDAI!K7</f>
        <v>73.6299999999999812</v>
      </c>
      <c r="D12" s="57">
        <f>(C12-B12)</f>
        <v>1.23999999999999488</v>
      </c>
      <c r="E12" s="56" t="str">
        <f>IF(D12&gt;1,"Worsening",IF(D12&lt;-1,"Improving","Stable"))</f>
        <v>Worsening</v>
      </c>
      <c r="F12" s="60" t="str">
        <f>IF(C12&gt;=85,"High",IF(C12&gt;=75,"Medium","Controlled"))</f>
        <v>Controlled</v>
      </c>
      <c r="G12" s="58" t="s">
        <v>154</v>
      </c>
      <c r="H12" s="58" t="s">
        <v>152</v>
      </c>
      <c r="I12" s="58" t="s">
        <v>155</v>
      </c>
    </row>
    <row r="13" spans="1:9" s="38" customFormat="1" ht="54.25" customHeight="1">
      <c r="A13" s="120" t="str">
        <f>Raw_IRDAI!A8</f>
        <v>Motor</v>
      </c>
      <c r="B13" s="57">
        <f>Raw_IRDAI!F8</f>
        <v>81.980000000000004</v>
      </c>
      <c r="C13" s="57">
        <f>Raw_IRDAI!K8</f>
        <v>85.5100000000000051</v>
      </c>
      <c r="D13" s="57">
        <f>(C13-B13)</f>
        <v>3.53000000000000114</v>
      </c>
      <c r="E13" s="56" t="str">
        <f>IF(D13&gt;1,"Worsening",IF(D13&lt;-1,"Improving","Stable"))</f>
        <v>Worsening</v>
      </c>
      <c r="F13" s="59" t="str">
        <f>IF(C13&gt;=85,"High",IF(C13&gt;=75,"Medium","Controlled"))</f>
        <v>High</v>
      </c>
      <c r="G13" s="58" t="s">
        <v>156</v>
      </c>
      <c r="H13" s="58" t="s">
        <v>152</v>
      </c>
      <c r="I13" s="58" t="s">
        <v>157</v>
      </c>
    </row>
    <row r="14" spans="1:9" s="38" customFormat="1" ht="54.25" customHeight="1">
      <c r="A14" s="120" t="str">
        <f>Raw_IRDAI!A9</f>
        <v>Health</v>
      </c>
      <c r="B14" s="57">
        <f>Raw_IRDAI!F9</f>
        <v>86.3499999999999801</v>
      </c>
      <c r="C14" s="57">
        <f>Raw_IRDAI!K9</f>
        <v>85.3400000000000034</v>
      </c>
      <c r="D14" s="57">
        <f>(C14-B14)</f>
        <v>-1.00999999999999091</v>
      </c>
      <c r="E14" s="56" t="str">
        <f>IF(D14&gt;1,"Worsening",IF(D14&lt;-1,"Improving","Stable"))</f>
        <v>Improving</v>
      </c>
      <c r="F14" s="59" t="str">
        <f>IF(C14&gt;=85,"High",IF(C14&gt;=75,"Medium","Controlled"))</f>
        <v>High</v>
      </c>
      <c r="G14" s="58" t="s">
        <v>158</v>
      </c>
      <c r="H14" s="58" t="s">
        <v>152</v>
      </c>
      <c r="I14" s="58" t="s">
        <v>159</v>
      </c>
    </row>
    <row r="15" spans="1:9" s="38" customFormat="1" ht="54.25" customHeight="1">
      <c r="A15" s="120" t="str">
        <f>Raw_IRDAI!A10</f>
        <v>Others</v>
      </c>
      <c r="B15" s="57">
        <f>Raw_IRDAI!F10</f>
        <v>72.7800000000000011</v>
      </c>
      <c r="C15" s="57">
        <f>Raw_IRDAI!K10</f>
        <v>68.6200000000000045</v>
      </c>
      <c r="D15" s="57">
        <f>(C15-B15)</f>
        <v>-4.15999999999999659</v>
      </c>
      <c r="E15" s="56" t="str">
        <f>IF(D15&gt;1,"Worsening",IF(D15&lt;-1,"Improving","Stable"))</f>
        <v>Improving</v>
      </c>
      <c r="F15" s="60" t="str">
        <f>IF(C15&gt;=85,"High",IF(C15&gt;=75,"Medium","Controlled"))</f>
        <v>Controlled</v>
      </c>
      <c r="G15" s="58" t="s">
        <v>160</v>
      </c>
      <c r="H15" s="58" t="s">
        <v>152</v>
      </c>
      <c r="I15" s="58" t="s">
        <v>161</v>
      </c>
    </row>
    <row r="16" spans="1:9" s="38" customFormat="1" ht="54.25" customHeight="1">
      <c r="A16" s="131" t="s">
        <v>162</v>
      </c>
      <c r="B16" s="130">
        <f>Raw_IRDAI!F11</f>
        <v>82.5199999999999818</v>
      </c>
      <c r="C16" s="130">
        <f>Raw_IRDAI!K11</f>
        <v>82.8799999999999812</v>
      </c>
      <c r="D16" s="130">
        <f>(C16-B16)</f>
        <v>0.359999999999999432</v>
      </c>
      <c r="E16" s="129" t="str">
        <f>IF(D16&gt;1,"Worsening",IF(D16&lt;-1,"Improving","Stable"))</f>
        <v>Stable</v>
      </c>
      <c r="F16" s="63" t="str">
        <f>IF(C16&gt;=85,"High",IF(C16&gt;=75,"Medium","Controlled"))</f>
        <v>Medium</v>
      </c>
      <c r="G16" s="128" t="s">
        <v>163</v>
      </c>
      <c r="H16" s="128" t="s">
        <v>152</v>
      </c>
      <c r="I16" s="128" t="s">
        <v>164</v>
      </c>
    </row>
    <row r="19" spans="1:9" ht="18" customHeight="1">
      <c r="A19" s="61" t="s">
        <v>165</v>
      </c>
      <c r="B19" s="61"/>
      <c r="C19" s="61"/>
      <c r="D19" s="61"/>
      <c r="E19" s="61"/>
      <c r="F19" s="61"/>
      <c r="G19" s="62"/>
      <c r="H19" s="62"/>
      <c r="I19" s="62"/>
    </row>
    <row r="21" spans="1:9" ht="22.70" customHeight="1">
      <c r="A21" s="68" t="s">
        <v>52</v>
      </c>
      <c r="B21" s="69" t="s">
        <v>166</v>
      </c>
      <c r="C21" s="69" t="s">
        <v>167</v>
      </c>
      <c r="D21" s="69" t="s">
        <v>168</v>
      </c>
      <c r="E21" s="69" t="s">
        <v>145</v>
      </c>
      <c r="F21" s="68" t="s">
        <v>169</v>
      </c>
      <c r="G21" s="68" t="s">
        <v>170</v>
      </c>
      <c r="H21" s="68" t="s">
        <v>171</v>
      </c>
      <c r="I21" s="68" t="s">
        <v>172</v>
      </c>
    </row>
    <row r="22" spans="1:9" ht="45.15" customHeight="1">
      <c r="A22" s="122" t="s">
        <v>55</v>
      </c>
      <c r="B22" s="64">
        <f>Analysis!B9</f>
        <v>6512.36999999999989</v>
      </c>
      <c r="C22" s="64">
        <f>Analysis!D9</f>
        <v>4498.4399999999996</v>
      </c>
      <c r="D22" s="65">
        <f>Analysis!H9</f>
        <v>-0.309246864044886882</v>
      </c>
      <c r="E22" s="64">
        <f>C11</f>
        <v>72.9300000000000068</v>
      </c>
      <c r="F22" s="66" t="str">
        <f>F11</f>
        <v>Controlled</v>
      </c>
      <c r="G22" s="58" t="s">
        <v>173</v>
      </c>
      <c r="H22" s="58" t="s">
        <v>174</v>
      </c>
      <c r="I22" s="58" t="s">
        <v>175</v>
      </c>
    </row>
    <row r="23" spans="1:9" ht="45.15" customHeight="1">
      <c r="A23" s="122" t="s">
        <v>56</v>
      </c>
      <c r="B23" s="64">
        <f>Analysis!B10</f>
        <v>13891.2900000000009</v>
      </c>
      <c r="C23" s="64">
        <f>Analysis!D10</f>
        <v>16893.3300000000017</v>
      </c>
      <c r="D23" s="65">
        <f>Analysis!H10</f>
        <v>0.21610951898635764</v>
      </c>
      <c r="E23" s="64">
        <f>C14</f>
        <v>85.3400000000000034</v>
      </c>
      <c r="F23" s="67" t="str">
        <f>F14</f>
        <v>High</v>
      </c>
      <c r="G23" s="58" t="s">
        <v>176</v>
      </c>
      <c r="H23" s="58" t="s">
        <v>177</v>
      </c>
      <c r="I23" s="58" t="s">
        <v>178</v>
      </c>
    </row>
    <row r="24" spans="1:9" ht="45.15" customHeight="1">
      <c r="A24" s="122" t="s">
        <v>57</v>
      </c>
      <c r="B24" s="64">
        <f>Analysis!B11</f>
        <v>870.419999999999845</v>
      </c>
      <c r="C24" s="64">
        <f>Analysis!D11</f>
        <v>1163.17000000000007</v>
      </c>
      <c r="D24" s="65">
        <f>Analysis!H11</f>
        <v>0.336331885756301574</v>
      </c>
      <c r="E24" s="64">
        <f>C12</f>
        <v>73.6299999999999812</v>
      </c>
      <c r="F24" s="66" t="str">
        <f>F12</f>
        <v>Controlled</v>
      </c>
      <c r="G24" s="58" t="s">
        <v>179</v>
      </c>
      <c r="H24" s="58" t="s">
        <v>180</v>
      </c>
      <c r="I24" s="58" t="s">
        <v>181</v>
      </c>
    </row>
    <row r="25" spans="1:9" ht="45.15" customHeight="1">
      <c r="A25" s="122" t="s">
        <v>58</v>
      </c>
      <c r="B25" s="64">
        <f>Analysis!B12</f>
        <v>7869.10999999999876</v>
      </c>
      <c r="C25" s="64">
        <f>Analysis!D12</f>
        <v>9099.22999999999956</v>
      </c>
      <c r="D25" s="65">
        <f>Analysis!H12</f>
        <v>0.156322633690468171</v>
      </c>
      <c r="E25" s="64">
        <f>C13</f>
        <v>85.5100000000000051</v>
      </c>
      <c r="F25" s="67" t="str">
        <f>F13</f>
        <v>High</v>
      </c>
      <c r="G25" s="58" t="s">
        <v>182</v>
      </c>
      <c r="H25" s="58" t="s">
        <v>183</v>
      </c>
      <c r="I25" s="58" t="s">
        <v>184</v>
      </c>
    </row>
    <row r="28" spans="1:9">
      <c r="A28" s="78" t="s">
        <v>185</v>
      </c>
      <c r="B28" s="78"/>
      <c r="C28" s="78"/>
      <c r="D28" s="78"/>
      <c r="E28" s="78"/>
      <c r="F28" s="78"/>
      <c r="G28" s="79"/>
      <c r="H28" s="79"/>
      <c r="I28" s="79"/>
    </row>
    <row r="30" spans="1:9">
      <c r="A30" s="80" t="s">
        <v>186</v>
      </c>
      <c r="B30" s="80"/>
      <c r="C30" s="80"/>
      <c r="D30" s="80" t="s">
        <v>187</v>
      </c>
      <c r="E30" s="80"/>
      <c r="F30" s="80"/>
      <c r="G30" s="80" t="s">
        <v>188</v>
      </c>
      <c r="H30" s="80"/>
      <c r="I30" s="80"/>
    </row>
    <row r="31" spans="1:9" ht="17.55" customHeight="1">
      <c r="A31" s="82" t="s">
        <v>189</v>
      </c>
      <c r="B31" s="82"/>
      <c r="C31" s="82"/>
      <c r="D31" s="81" t="s">
        <v>190</v>
      </c>
      <c r="E31" s="81"/>
      <c r="F31" s="81"/>
      <c r="G31" s="83" t="s">
        <v>191</v>
      </c>
      <c r="H31" s="83"/>
      <c r="I31" s="83"/>
    </row>
    <row r="32" spans="1:9" ht="17.55" customHeight="1">
      <c r="A32" s="82"/>
      <c r="B32" s="82"/>
      <c r="C32" s="82"/>
      <c r="D32" s="81"/>
      <c r="E32" s="81"/>
      <c r="F32" s="81"/>
      <c r="G32" s="83"/>
      <c r="H32" s="83"/>
      <c r="I32" s="83"/>
    </row>
    <row r="33" spans="1:9" ht="17.55" customHeight="1">
      <c r="A33" s="82"/>
      <c r="B33" s="82"/>
      <c r="C33" s="82"/>
      <c r="D33" s="81"/>
      <c r="E33" s="81"/>
      <c r="F33" s="81"/>
      <c r="G33" s="83"/>
      <c r="H33" s="83"/>
      <c r="I33" s="83"/>
    </row>
    <row r="34" spans="1:9" ht="17.55" customHeight="1">
      <c r="A34" s="82"/>
      <c r="B34" s="82"/>
      <c r="C34" s="82"/>
      <c r="D34" s="81"/>
      <c r="E34" s="81"/>
      <c r="F34" s="81"/>
      <c r="G34" s="83"/>
      <c r="H34" s="83"/>
      <c r="I34" s="83"/>
    </row>
    <row r="35" spans="1:9" ht="17.55" customHeight="1">
      <c r="A35" s="82"/>
      <c r="B35" s="82"/>
      <c r="C35" s="82"/>
      <c r="D35" s="81"/>
      <c r="E35" s="81"/>
      <c r="F35" s="81"/>
      <c r="G35" s="83"/>
      <c r="H35" s="83"/>
      <c r="I35" s="83"/>
    </row>
  </sheetData>
  <mergeCells count="15">
    <mergeCell ref="A1:I1"/>
    <mergeCell ref="A2:I2"/>
    <mergeCell ref="B4:F4"/>
    <mergeCell ref="B5:F5"/>
    <mergeCell ref="B6:F6"/>
    <mergeCell ref="B7:F7"/>
    <mergeCell ref="B8:F8"/>
    <mergeCell ref="A19:I19"/>
    <mergeCell ref="A28:I28"/>
    <mergeCell ref="A30:C30"/>
    <mergeCell ref="D30:F30"/>
    <mergeCell ref="G30:I30"/>
    <mergeCell ref="A31:C35"/>
    <mergeCell ref="D31:F35"/>
    <mergeCell ref="G31:I35"/>
  </mergeCells>
  <printOptions>
    <extLst>
      <ext uri="smNativeData">
        <pm:pageFlags xmlns:pm="smNativeData" id="1780841053" printRowHead="0" printColHead="0" printHeadLine="0" printFootLine="0" autoHeightHeader="0" autoHeightFooter="0" fitToPageBoth="0"/>
      </ext>
    </extLst>
  </printOptions>
  <pageMargins left="1.000000" right="1.000000" top="1.000000" bottom="1.000000" header="0.393750" footer="0.393750"/>
  <pageSetup paperSize="1" fitToWidth="0" fitToHeight="1" pageOrder="overThenDown"/>
  <headerFooter>
    <extLst>
      <ext uri="smNativeData">
        <pm:header xmlns:pm="smNativeData" id="1780841053" l="56" r="56" t="56" b="56" borderId="0" fillId="0" vertical="0"/>
        <pm:footer xmlns:pm="smNativeData" id="1780841053" l="56" r="56" t="56" b="56" borderId="0" fillId="0" vertical="2"/>
        <pm:paperBin xmlns:pm="smNativeData" id="1780841053" Id="0" type="0" value="0"/>
        <pm:paperBin xmlns:pm="smNativeData" id="1780841053" Id="1" type="0" value="0"/>
      </ext>
    </extLst>
  </headerFooter>
  <extLst>
    <ext uri="smNativeData">
      <pm:sheetPrefs xmlns:pm="smNativeData" day="1780841053" outlineProtect="1" showHorizontalRuler="1" showVerticalRuler="1" showAltShade="0">
        <pm:shade id="0" type="0" fgLvl="100" fgClr="000000" bgLvl="100" bgClr="FFFFFF"/>
        <pm:shade id="1" type="0" fgLvl="100" fgClr="000000" bgLvl="100" bgClr="FFFFFF"/>
      </pm:sheetPrefs>
    </ext>
  </extLst>
</worksheet>
</file>

<file path=xl/worksheets/sheet5.xml><?xml version="1.0" encoding="utf-8"?>
<worksheet xmlns="http://schemas.openxmlformats.org/spreadsheetml/2006/main" xmlns:r="http://schemas.openxmlformats.org/officeDocument/2006/relationships" xmlns:mc="http://schemas.openxmlformats.org/markup-compatibility/2006">
  <dimension ref="A1:K22"/>
  <sheetViews>
    <sheetView view="normal" topLeftCell="A8" zoomScale="90" workbookViewId="0">
      <selection activeCell="A12" sqref="A12:K12"/>
    </sheetView>
  </sheetViews>
  <sheetFormatPr baseColWidth="9" defaultColWidth="10.000000" defaultRowHeight="13.45"/>
  <cols>
    <col min="1" max="1" width="11.099099" customWidth="1"/>
    <col min="2" max="2" width="14.342342" customWidth="1"/>
    <col min="3" max="3" width="14.918919" customWidth="1"/>
    <col min="4" max="4" width="12.513514" customWidth="1"/>
    <col min="5" max="10" width="14.261261" customWidth="1"/>
    <col min="11" max="11" width="39.801802" customWidth="1"/>
  </cols>
  <sheetData>
    <row r="1" spans="1:11">
      <c r="A1" s="105" t="s">
        <v>192</v>
      </c>
      <c r="B1" s="105"/>
      <c r="C1" s="105"/>
      <c r="D1" s="105"/>
      <c r="E1" s="105"/>
      <c r="F1" s="105"/>
      <c r="G1" s="105"/>
      <c r="H1" s="105"/>
      <c r="I1" s="105"/>
      <c r="J1" s="105"/>
      <c r="K1" s="105"/>
    </row>
    <row r="3" spans="1:11">
      <c r="A3" s="106" t="s">
        <v>193</v>
      </c>
      <c r="B3" s="106"/>
      <c r="C3" s="106"/>
      <c r="D3" s="106"/>
      <c r="E3" s="106"/>
      <c r="F3" s="106"/>
      <c r="G3" s="106"/>
      <c r="H3" s="106"/>
      <c r="I3" s="106"/>
      <c r="J3" s="106"/>
      <c r="K3" s="106"/>
    </row>
    <row r="5" spans="1:11">
      <c r="A5" s="104" t="s">
        <v>52</v>
      </c>
      <c r="B5" s="104" t="s">
        <v>194</v>
      </c>
      <c r="C5" s="104" t="s">
        <v>195</v>
      </c>
      <c r="D5" s="104" t="s">
        <v>196</v>
      </c>
      <c r="E5" s="104" t="s">
        <v>197</v>
      </c>
      <c r="F5" s="104" t="s">
        <v>198</v>
      </c>
      <c r="G5" s="104" t="s">
        <v>199</v>
      </c>
      <c r="H5" s="104" t="s">
        <v>200</v>
      </c>
      <c r="I5" s="104" t="s">
        <v>201</v>
      </c>
      <c r="J5" s="104" t="s">
        <v>202</v>
      </c>
      <c r="K5" s="104" t="s">
        <v>203</v>
      </c>
    </row>
    <row r="6" spans="1:11">
      <c r="A6" s="120" t="s">
        <v>55</v>
      </c>
      <c r="B6" s="109">
        <f>Raw_ICICI_NL4!E6</f>
        <v>69024</v>
      </c>
      <c r="C6" s="109">
        <f>Raw_ICICI_NL5!C6</f>
        <v>36288</v>
      </c>
      <c r="D6" s="107">
        <f>C6/B6</f>
        <v>0.52573018080667584</v>
      </c>
      <c r="E6" s="109">
        <f>Raw_ICICI_NL6!E6</f>
        <v>-21496</v>
      </c>
      <c r="F6" s="107">
        <f>E6/B6</f>
        <v>-0.311427909133055181</v>
      </c>
      <c r="G6" s="109">
        <f>Raw_ICICI_NL7!C6</f>
        <v>11744</v>
      </c>
      <c r="H6" s="107">
        <f>G6/B6</f>
        <v>0.170143718127028265</v>
      </c>
      <c r="I6" s="107">
        <f>D6+F6+H6</f>
        <v>0.384445989800649013</v>
      </c>
      <c r="J6" s="60" t="str">
        <f>IF(I6&gt;=1,"High",IF(I6&gt;=0.85,"Watch","Controlled"))</f>
        <v>Controlled</v>
      </c>
      <c r="K6" s="58" t="s">
        <v>204</v>
      </c>
    </row>
    <row r="7" spans="1:11">
      <c r="A7" s="120" t="s">
        <v>205</v>
      </c>
      <c r="B7" s="109">
        <f>Raw_ICICI_NL4!E7</f>
        <v>62423</v>
      </c>
      <c r="C7" s="109">
        <f>Raw_ICICI_NL5!C7</f>
        <v>56718</v>
      </c>
      <c r="D7" s="107">
        <f>C7/B7</f>
        <v>0.908607404322124879</v>
      </c>
      <c r="E7" s="109">
        <f>Raw_ICICI_NL6!E7</f>
        <v>9394</v>
      </c>
      <c r="F7" s="107">
        <f>E7/B7</f>
        <v>0.150489402944427519</v>
      </c>
      <c r="G7" s="109">
        <f>Raw_ICICI_NL7!C7</f>
        <v>8911</v>
      </c>
      <c r="H7" s="107">
        <f>G7/B7</f>
        <v>0.142751870304214794</v>
      </c>
      <c r="I7" s="107">
        <f>D7+F7+H7</f>
        <v>1.20184867757076508</v>
      </c>
      <c r="J7" s="59" t="str">
        <f>IF(I7&gt;=1,"High",IF(I7&gt;=0.85,"Watch","Controlled"))</f>
        <v>High</v>
      </c>
      <c r="K7" s="58" t="s">
        <v>206</v>
      </c>
    </row>
    <row r="8" spans="1:11">
      <c r="A8" s="120" t="s">
        <v>207</v>
      </c>
      <c r="B8" s="109">
        <f>Raw_ICICI_NL4!E8</f>
        <v>1102482</v>
      </c>
      <c r="C8" s="109">
        <f>Raw_ICICI_NL5!C8</f>
        <v>730697</v>
      </c>
      <c r="D8" s="107">
        <f>C8/B8</f>
        <v>0.662774539629671899</v>
      </c>
      <c r="E8" s="109">
        <f>Raw_ICICI_NL6!E8</f>
        <v>352153</v>
      </c>
      <c r="F8" s="107">
        <f>E8/B8</f>
        <v>0.319418366921183328</v>
      </c>
      <c r="G8" s="109">
        <f>Raw_ICICI_NL7!C8</f>
        <v>105427</v>
      </c>
      <c r="H8" s="107">
        <f>G8/B8</f>
        <v>0.0956269580818552889</v>
      </c>
      <c r="I8" s="107">
        <f>D8+F8+H8</f>
        <v>1.07781986463270996</v>
      </c>
      <c r="J8" s="59" t="str">
        <f>IF(I8&gt;=1,"High",IF(I8&gt;=0.85,"Watch","Controlled"))</f>
        <v>High</v>
      </c>
      <c r="K8" s="58" t="s">
        <v>208</v>
      </c>
    </row>
    <row r="9" spans="1:11">
      <c r="A9" s="120" t="s">
        <v>209</v>
      </c>
      <c r="B9" s="109">
        <f>Raw_ICICI_NL4!E9</f>
        <v>841201</v>
      </c>
      <c r="C9" s="109">
        <f>Raw_ICICI_NL5!C9</f>
        <v>659370</v>
      </c>
      <c r="D9" s="107">
        <f>C9/B9</f>
        <v>0.783843576029985645</v>
      </c>
      <c r="E9" s="109">
        <f>Raw_ICICI_NL6!E9</f>
        <v>101495</v>
      </c>
      <c r="F9" s="107">
        <f>E9/B9</f>
        <v>0.120654873211039937</v>
      </c>
      <c r="G9" s="109">
        <f>Raw_ICICI_NL7!C9</f>
        <v>145745</v>
      </c>
      <c r="H9" s="107">
        <f>G9/B9</f>
        <v>0.173258234357781316</v>
      </c>
      <c r="I9" s="107">
        <f>D9+F9+H9</f>
        <v>1.07775668359880705</v>
      </c>
      <c r="J9" s="59" t="str">
        <f>IF(I9&gt;=1,"High",IF(I9&gt;=0.85,"Watch","Controlled"))</f>
        <v>High</v>
      </c>
      <c r="K9" s="58" t="s">
        <v>210</v>
      </c>
    </row>
    <row r="10" spans="1:11">
      <c r="A10" s="121" t="s">
        <v>211</v>
      </c>
      <c r="B10" s="110">
        <f>Raw_ICICI_NL4!E10</f>
        <v>2226357</v>
      </c>
      <c r="C10" s="110">
        <f>Raw_ICICI_NL5!C10</f>
        <v>1582847</v>
      </c>
      <c r="D10" s="108">
        <f>C10/B10</f>
        <v>0.710958305429003534</v>
      </c>
      <c r="E10" s="110">
        <f>Raw_ICICI_NL6!E10</f>
        <v>448419</v>
      </c>
      <c r="F10" s="108">
        <f>E10/B10</f>
        <v>0.201413789432692081</v>
      </c>
      <c r="G10" s="110">
        <f>Raw_ICICI_NL7!C10</f>
        <v>305855</v>
      </c>
      <c r="H10" s="108">
        <f>G10/B10</f>
        <v>0.137379135511510508</v>
      </c>
      <c r="I10" s="108">
        <f>D10+F10+H10</f>
        <v>1.04975123037320706</v>
      </c>
      <c r="J10" s="59" t="str">
        <f>IF(I10&gt;=1,"High",IF(I10&gt;=0.85,"Watch","Controlled"))</f>
        <v>High</v>
      </c>
      <c r="K10" s="93" t="s">
        <v>212</v>
      </c>
    </row>
    <row r="12" spans="1:11" ht="35.15" customHeight="1">
      <c r="A12" s="111" t="s">
        <v>213</v>
      </c>
      <c r="B12" s="111"/>
      <c r="C12" s="111"/>
      <c r="D12" s="111"/>
      <c r="E12" s="111"/>
      <c r="F12" s="111"/>
      <c r="G12" s="111"/>
      <c r="H12" s="111"/>
      <c r="I12" s="111"/>
      <c r="J12" s="111"/>
      <c r="K12" s="111"/>
    </row>
    <row r="15" spans="1:11">
      <c r="A15" s="114" t="s">
        <v>214</v>
      </c>
      <c r="B15" s="114"/>
      <c r="C15" s="114"/>
      <c r="D15" s="114"/>
      <c r="E15" s="114"/>
      <c r="F15" s="114"/>
      <c r="G15" s="114"/>
      <c r="H15" s="114"/>
      <c r="I15" s="114"/>
      <c r="J15" s="114"/>
      <c r="K15" s="114"/>
    </row>
    <row r="17" spans="1:11">
      <c r="A17" s="115" t="s">
        <v>215</v>
      </c>
      <c r="B17" s="115"/>
      <c r="C17" s="115"/>
      <c r="D17" s="116" t="s">
        <v>216</v>
      </c>
      <c r="E17" s="116"/>
      <c r="F17" s="116"/>
      <c r="G17" s="116"/>
      <c r="H17" s="117" t="s">
        <v>217</v>
      </c>
      <c r="I17" s="117"/>
      <c r="J17" s="117"/>
      <c r="K17" s="117"/>
    </row>
    <row r="18" spans="1:11">
      <c r="A18" s="67" t="s">
        <v>218</v>
      </c>
      <c r="B18" s="67"/>
      <c r="C18" s="67"/>
      <c r="D18" s="118" t="s">
        <v>219</v>
      </c>
      <c r="E18" s="118"/>
      <c r="F18" s="118"/>
      <c r="G18" s="118"/>
      <c r="H18" s="119" t="s">
        <v>220</v>
      </c>
      <c r="I18" s="119"/>
      <c r="J18" s="119"/>
      <c r="K18" s="119"/>
    </row>
    <row r="19" spans="1:11">
      <c r="A19" s="67"/>
      <c r="B19" s="67"/>
      <c r="C19" s="67"/>
      <c r="D19" s="118"/>
      <c r="E19" s="118"/>
      <c r="F19" s="118"/>
      <c r="G19" s="118"/>
      <c r="H19" s="119"/>
      <c r="I19" s="119"/>
      <c r="J19" s="119"/>
      <c r="K19" s="119"/>
    </row>
    <row r="20" spans="1:11">
      <c r="A20" s="67"/>
      <c r="B20" s="67"/>
      <c r="C20" s="67"/>
      <c r="D20" s="118"/>
      <c r="E20" s="118"/>
      <c r="F20" s="118"/>
      <c r="G20" s="118"/>
      <c r="H20" s="119"/>
      <c r="I20" s="119"/>
      <c r="J20" s="119"/>
      <c r="K20" s="119"/>
    </row>
    <row r="21" spans="1:11">
      <c r="A21" s="67"/>
      <c r="B21" s="67"/>
      <c r="C21" s="67"/>
      <c r="D21" s="118"/>
      <c r="E21" s="118"/>
      <c r="F21" s="118"/>
      <c r="G21" s="118"/>
      <c r="H21" s="119"/>
      <c r="I21" s="119"/>
      <c r="J21" s="119"/>
      <c r="K21" s="119"/>
    </row>
    <row r="22" spans="1:11">
      <c r="A22" s="67"/>
      <c r="B22" s="67"/>
      <c r="C22" s="67"/>
      <c r="D22" s="118"/>
      <c r="E22" s="118"/>
      <c r="F22" s="118"/>
      <c r="G22" s="118"/>
      <c r="H22" s="119"/>
      <c r="I22" s="119"/>
      <c r="J22" s="119"/>
      <c r="K22" s="119"/>
    </row>
  </sheetData>
  <mergeCells count="10">
    <mergeCell ref="A1:K1"/>
    <mergeCell ref="A3:K3"/>
    <mergeCell ref="A12:K12"/>
    <mergeCell ref="A15:K15"/>
    <mergeCell ref="A17:C17"/>
    <mergeCell ref="D17:G17"/>
    <mergeCell ref="H17:K17"/>
    <mergeCell ref="A18:C22"/>
    <mergeCell ref="D18:G22"/>
    <mergeCell ref="H18:K22"/>
  </mergeCells>
  <printOptions>
    <extLst>
      <ext uri="smNativeData">
        <pm:pageFlags xmlns:pm="smNativeData" id="1780841053" printRowHead="0" printColHead="0" printHeadLine="0" printFootLine="0" autoHeightHeader="0" autoHeightFooter="0" fitToPageBoth="0"/>
      </ext>
    </extLst>
  </printOptions>
  <pageMargins left="1.000000" right="1.000000" top="1.000000" bottom="1.000000" header="0.393750" footer="0.393750"/>
  <pageSetup paperSize="1" fitToWidth="0" fitToHeight="1" pageOrder="overThenDown"/>
  <headerFooter>
    <extLst>
      <ext uri="smNativeData">
        <pm:header xmlns:pm="smNativeData" id="1780841053" l="56" r="56" t="56" b="56" borderId="0" fillId="0" vertical="0"/>
        <pm:footer xmlns:pm="smNativeData" id="1780841053" l="56" r="56" t="56" b="56" borderId="0" fillId="0" vertical="2"/>
        <pm:paperBin xmlns:pm="smNativeData" id="1780841053" Id="0" type="0" value="0"/>
        <pm:paperBin xmlns:pm="smNativeData" id="1780841053" Id="1" type="0" value="0"/>
      </ext>
    </extLst>
  </headerFooter>
  <extLst>
    <ext uri="smNativeData">
      <pm:sheetPrefs xmlns:pm="smNativeData" day="1780841053" outlineProtect="1" showHorizontalRuler="1" showVerticalRuler="1" showAltShade="0">
        <pm:shade id="0" type="0" fgLvl="100" fgClr="000000" bgLvl="100" bgClr="FFFFFF"/>
        <pm:shade id="1" type="0" fgLvl="100" fgClr="000000" bgLvl="100" bgClr="FFFFFF"/>
      </pm:sheetPrefs>
    </ext>
  </extLst>
</worksheet>
</file>

<file path=xl/worksheets/sheet6.xml><?xml version="1.0" encoding="utf-8"?>
<worksheet xmlns="http://schemas.openxmlformats.org/spreadsheetml/2006/main" xmlns:r="http://schemas.openxmlformats.org/officeDocument/2006/relationships" xmlns:mc="http://schemas.openxmlformats.org/markup-compatibility/2006">
  <dimension ref="A1:D7"/>
  <sheetViews>
    <sheetView view="normal" zoomScale="140" workbookViewId="0">
      <selection activeCell="B10" sqref="B10"/>
    </sheetView>
  </sheetViews>
  <sheetFormatPr baseColWidth="9" defaultColWidth="10.000000" defaultRowHeight="13.45"/>
  <cols>
    <col min="1" max="1" width="27.360360" customWidth="1"/>
    <col min="2" max="2" width="18.117117" customWidth="1"/>
    <col min="3" max="3" width="8.855856" customWidth="1"/>
    <col min="4" max="4" width="12.351351" customWidth="1"/>
  </cols>
  <sheetData>
    <row r="1" spans="1:4">
      <c r="A1" s="137" t="s">
        <v>221</v>
      </c>
      <c r="B1" s="137" t="s">
        <v>222</v>
      </c>
      <c r="C1" s="137"/>
      <c r="D1" s="137"/>
    </row>
    <row r="2" spans="1:4">
      <c r="A2" s="140" t="s">
        <v>223</v>
      </c>
      <c r="B2" s="140" t="s">
        <v>224</v>
      </c>
      <c r="C2" s="140" t="s">
        <v>225</v>
      </c>
      <c r="D2" s="140" t="s">
        <v>226</v>
      </c>
    </row>
    <row r="3" spans="1:4">
      <c r="A3" s="142" t="s">
        <v>55</v>
      </c>
      <c r="B3" s="141" t="n">
        <v>6512.36999999999898</v>
      </c>
      <c r="C3" s="141" t="n">
        <v>4498.44000000000051</v>
      </c>
      <c r="D3" s="141" t="n">
        <v>11010.8100000000013</v>
      </c>
    </row>
    <row r="4" spans="1:4">
      <c r="A4" s="142" t="s">
        <v>56</v>
      </c>
      <c r="B4" s="141" t="n">
        <v>13891.2899999999972</v>
      </c>
      <c r="C4" s="141" t="n">
        <v>16893.3300000000017</v>
      </c>
      <c r="D4" s="141" t="n">
        <v>30784.619999999999</v>
      </c>
    </row>
    <row r="5" spans="1:4">
      <c r="A5" s="142" t="s">
        <v>227</v>
      </c>
      <c r="B5" s="141" t="n">
        <v>870.420000000000073</v>
      </c>
      <c r="C5" s="141" t="n">
        <v>1163.17000000000007</v>
      </c>
      <c r="D5" s="141" t="n">
        <v>2033.58999999999992</v>
      </c>
    </row>
    <row r="6" spans="1:4">
      <c r="A6" s="142" t="s">
        <v>228</v>
      </c>
      <c r="B6" s="141" t="n">
        <v>7869.10999999999967</v>
      </c>
      <c r="C6" s="141" t="n">
        <v>9099.23000000000138</v>
      </c>
      <c r="D6" s="141" t="n">
        <v>16968.3400000000001</v>
      </c>
    </row>
    <row r="7" spans="1:4">
      <c r="A7" s="142" t="s">
        <v>226</v>
      </c>
      <c r="B7" s="141" t="n">
        <v>29143.190000000006</v>
      </c>
      <c r="C7" s="141" t="n">
        <v>31654.1700000000019</v>
      </c>
      <c r="D7" s="141" t="n">
        <v>60797.3600000000151</v>
      </c>
    </row>
  </sheetData>
  <printOptions>
    <extLst>
      <ext uri="smNativeData">
        <pm:pageFlags xmlns:pm="smNativeData" id="1780841053" printRowHead="0" printColHead="0" printHeadLine="0" printFootLine="0" autoHeightHeader="0" autoHeightFooter="0" fitToPageBoth="0"/>
      </ext>
    </extLst>
  </printOptions>
  <pageMargins left="1.000000" right="1.000000" top="1.000000" bottom="1.000000" header="0.393750" footer="0.393750"/>
  <pageSetup paperSize="1" fitToWidth="0" fitToHeight="1" pageOrder="overThenDown"/>
  <headerFooter>
    <extLst>
      <ext uri="smNativeData">
        <pm:header xmlns:pm="smNativeData" id="1780841053" l="56" r="56" t="56" b="56" borderId="0" fillId="0" vertical="0"/>
        <pm:footer xmlns:pm="smNativeData" id="1780841053" l="56" r="56" t="56" b="56" borderId="0" fillId="0" vertical="2"/>
        <pm:paperBin xmlns:pm="smNativeData" id="1780841053" Id="0" type="0" value="0"/>
        <pm:paperBin xmlns:pm="smNativeData" id="1780841053" Id="1" type="0" value="0"/>
      </ext>
    </extLst>
  </headerFooter>
  <extLst>
    <ext uri="smNativeData">
      <pm:sheetPrefs xmlns:pm="smNativeData" day="1780841053" outlineProtect="1" showHorizontalRuler="1" showVerticalRuler="1" showAltShade="0">
        <pm:shade id="0" type="0" fgLvl="100" fgClr="000000" bgLvl="100" bgClr="FFFFFF"/>
        <pm:shade id="1" type="0" fgLvl="100" fgClr="000000" bgLvl="100" bgClr="FFFFFF"/>
      </pm:sheetPrefs>
    </ext>
  </extLst>
</worksheet>
</file>

<file path=xl/worksheets/sheet7.xml><?xml version="1.0" encoding="utf-8"?>
<worksheet xmlns="http://schemas.openxmlformats.org/spreadsheetml/2006/main" xmlns:r="http://schemas.openxmlformats.org/officeDocument/2006/relationships" xmlns:mc="http://schemas.openxmlformats.org/markup-compatibility/2006">
  <dimension ref="A1:D39"/>
  <sheetViews>
    <sheetView view="normal" zoomScale="150" workbookViewId="0">
      <selection activeCell="F14" sqref="F14"/>
    </sheetView>
  </sheetViews>
  <sheetFormatPr baseColWidth="9" defaultColWidth="10.000000" defaultRowHeight="13.45"/>
  <cols>
    <col min="1" max="1" width="40.063063" customWidth="1"/>
    <col min="2" max="2" width="18.117117" customWidth="1"/>
    <col min="3" max="3" width="8.855856" customWidth="1"/>
    <col min="4" max="4" width="12.351351" customWidth="1"/>
  </cols>
  <sheetData>
    <row r="1" spans="1:4">
      <c r="A1" s="138" t="s">
        <v>52</v>
      </c>
      <c r="B1" s="139" t="s">
        <v>229</v>
      </c>
      <c r="C1" s="138"/>
      <c r="D1" s="138"/>
    </row>
    <row r="2" spans="1:4">
      <c r="A2" s="8"/>
      <c r="B2" s="8"/>
      <c r="C2" s="8"/>
      <c r="D2" s="8"/>
    </row>
    <row r="3" spans="1:4">
      <c r="A3" s="137" t="s">
        <v>221</v>
      </c>
      <c r="B3" s="137" t="s">
        <v>222</v>
      </c>
      <c r="C3" s="137"/>
      <c r="D3" s="137"/>
    </row>
    <row r="4" spans="1:4">
      <c r="A4" s="137" t="s">
        <v>223</v>
      </c>
      <c r="B4" s="137" t="s">
        <v>224</v>
      </c>
      <c r="C4" s="137" t="s">
        <v>225</v>
      </c>
      <c r="D4" s="137" t="s">
        <v>226</v>
      </c>
    </row>
    <row r="5" spans="1:4">
      <c r="A5" s="8" t="s">
        <v>104</v>
      </c>
      <c r="B5" s="8" t="n">
        <v>177.430000000000007</v>
      </c>
      <c r="C5" s="8" t="n">
        <v>286.54000000000002</v>
      </c>
      <c r="D5" s="8" t="n">
        <v>463.970000000000027</v>
      </c>
    </row>
    <row r="6" spans="1:4">
      <c r="A6" s="8" t="s">
        <v>91</v>
      </c>
      <c r="B6" s="8" t="n">
        <v>438.370000000000005</v>
      </c>
      <c r="C6" s="8" t="n">
        <v>731.980000000000018</v>
      </c>
      <c r="D6" s="8" t="n">
        <v>1170.34999999999991</v>
      </c>
    </row>
    <row r="7" spans="1:4">
      <c r="A7" s="8" t="s">
        <v>116</v>
      </c>
      <c r="B7" s="8" t="n">
        <v>5.78000000000000025</v>
      </c>
      <c r="C7" s="8" t="n">
        <v>16.4800000000000004</v>
      </c>
      <c r="D7" s="8" t="n">
        <v>22.2600000000000016</v>
      </c>
    </row>
    <row r="8" spans="1:4">
      <c r="A8" s="8" t="s">
        <v>79</v>
      </c>
      <c r="B8" s="8" t="n">
        <v>2402.82000000000016</v>
      </c>
      <c r="C8" s="8" t="n">
        <v>2665.55000000000018</v>
      </c>
      <c r="D8" s="8" t="n">
        <v>5068.3700000000008</v>
      </c>
    </row>
    <row r="9" spans="1:4">
      <c r="A9" s="8" t="s">
        <v>86</v>
      </c>
      <c r="B9" s="8" t="n">
        <v>726.190000000000055</v>
      </c>
      <c r="C9" s="8" t="n">
        <v>1008.77999999999997</v>
      </c>
      <c r="D9" s="8" t="n">
        <v>1734.97000000000003</v>
      </c>
    </row>
    <row r="10" spans="1:4">
      <c r="A10" s="8" t="s">
        <v>90</v>
      </c>
      <c r="B10" s="8" t="n">
        <v>708.580000000000041</v>
      </c>
      <c r="C10" s="8" t="n">
        <v>745.379999999999995</v>
      </c>
      <c r="D10" s="8" t="n">
        <v>1453.96000000000004</v>
      </c>
    </row>
    <row r="11" spans="1:4">
      <c r="A11" s="8" t="s">
        <v>112</v>
      </c>
      <c r="B11" s="8" t="n">
        <v>87.6599999999999966</v>
      </c>
      <c r="C11" s="8" t="n">
        <v>106.469999999999999</v>
      </c>
      <c r="D11" s="8" t="n">
        <v>194.129999999999995</v>
      </c>
    </row>
    <row r="12" spans="1:4">
      <c r="A12" s="8" t="s">
        <v>118</v>
      </c>
      <c r="B12" s="8" t="n">
        <v>3.37999999999999989</v>
      </c>
      <c r="C12" s="8" t="n">
        <v>13.0899999999999999</v>
      </c>
      <c r="D12" s="8" t="n">
        <v>16.4699999999999989</v>
      </c>
    </row>
    <row r="13" spans="1:4">
      <c r="A13" s="8" t="s">
        <v>96</v>
      </c>
      <c r="B13" s="8" t="n">
        <v>641.049999999999955</v>
      </c>
      <c r="C13" s="8" t="n">
        <v>515.230000000000018</v>
      </c>
      <c r="D13" s="8" t="n">
        <v>1156.27999999999997</v>
      </c>
    </row>
    <row r="14" spans="1:4">
      <c r="A14" s="8" t="s">
        <v>88</v>
      </c>
      <c r="B14" s="8" t="n">
        <v>1000.64999999999998</v>
      </c>
      <c r="C14" s="8" t="n">
        <v>967.549999999999955</v>
      </c>
      <c r="D14" s="8" t="n">
        <v>1968.19999999999982</v>
      </c>
    </row>
    <row r="15" spans="1:4">
      <c r="A15" s="8" t="s">
        <v>81</v>
      </c>
      <c r="B15" s="8" t="n">
        <v>1619.92000000000007</v>
      </c>
      <c r="C15" s="8" t="n">
        <v>1743.27999999999997</v>
      </c>
      <c r="D15" s="8" t="n">
        <v>3363.19999999999982</v>
      </c>
    </row>
    <row r="16" spans="1:4">
      <c r="A16" s="8" t="s">
        <v>76</v>
      </c>
      <c r="B16" s="8" t="n">
        <v>3592.2199999999998</v>
      </c>
      <c r="C16" s="8" t="n">
        <v>3654</v>
      </c>
      <c r="D16" s="8" t="n">
        <v>7246.21999999999935</v>
      </c>
    </row>
    <row r="17" spans="1:4">
      <c r="A17" s="8" t="s">
        <v>89</v>
      </c>
      <c r="B17" s="8" t="n">
        <v>783.529999999999973</v>
      </c>
      <c r="C17" s="8" t="n">
        <v>876.75</v>
      </c>
      <c r="D17" s="8" t="n">
        <v>1660.27999999999997</v>
      </c>
    </row>
    <row r="18" spans="1:4">
      <c r="A18" s="8" t="s">
        <v>83</v>
      </c>
      <c r="B18" s="8" t="n">
        <v>1479.25999999999999</v>
      </c>
      <c r="C18" s="8" t="n">
        <v>1563.91000000000008</v>
      </c>
      <c r="D18" s="8" t="n">
        <v>3043.17000000000007</v>
      </c>
    </row>
    <row r="19" spans="1:4">
      <c r="A19" s="8" t="s">
        <v>120</v>
      </c>
      <c r="B19" s="8" t="n">
        <v>306.480000000000018</v>
      </c>
      <c r="C19" s="8" t="n">
        <v>6</v>
      </c>
      <c r="D19" s="8" t="n">
        <v>312.480000000000018</v>
      </c>
    </row>
    <row r="20" spans="1:4">
      <c r="A20" s="8" t="s">
        <v>102</v>
      </c>
      <c r="B20" s="8" t="n">
        <v>241.139999999999986</v>
      </c>
      <c r="C20" s="8" t="n">
        <v>310.860000000000014</v>
      </c>
      <c r="D20" s="8" t="n">
        <v>552</v>
      </c>
    </row>
    <row r="21" spans="1:4">
      <c r="A21" s="8" t="s">
        <v>98</v>
      </c>
      <c r="B21" s="8" t="n">
        <v>380.050000000000011</v>
      </c>
      <c r="C21" s="8" t="n">
        <v>376.899999999999977</v>
      </c>
      <c r="D21" s="8" t="n">
        <v>756.950000000000045</v>
      </c>
    </row>
    <row r="22" spans="1:4">
      <c r="A22" s="8" t="s">
        <v>106</v>
      </c>
      <c r="B22" s="8" t="n">
        <v>183.780000000000001</v>
      </c>
      <c r="C22" s="8" t="n">
        <v>279.980000000000018</v>
      </c>
      <c r="D22" s="8" t="n">
        <v>463.759999999999991</v>
      </c>
    </row>
    <row r="23" spans="1:4">
      <c r="A23" s="8" t="s">
        <v>114</v>
      </c>
      <c r="B23" s="8" t="n">
        <v>0.4</v>
      </c>
      <c r="C23" s="8" t="n">
        <v>17.9100000000000001</v>
      </c>
      <c r="D23" s="8" t="n">
        <v>18.3099999999999987</v>
      </c>
    </row>
    <row r="24" spans="1:4">
      <c r="A24" s="8" t="s">
        <v>82</v>
      </c>
      <c r="B24" s="8" t="n">
        <v>1528.72000000000003</v>
      </c>
      <c r="C24" s="8" t="n">
        <v>1605.18000000000006</v>
      </c>
      <c r="D24" s="8" t="n">
        <v>3133.90000000000009</v>
      </c>
    </row>
    <row r="25" spans="1:4">
      <c r="A25" s="8" t="s">
        <v>117</v>
      </c>
      <c r="B25" s="8" t="n">
        <v>22.6900000000000013</v>
      </c>
      <c r="C25" s="8" t="n">
        <v>15.4700000000000006</v>
      </c>
      <c r="D25" s="8" t="n">
        <v>38.1600000000000037</v>
      </c>
    </row>
    <row r="26" spans="1:4">
      <c r="A26" s="8" t="s">
        <v>93</v>
      </c>
      <c r="B26" s="8" t="n">
        <v>483.069999999999993</v>
      </c>
      <c r="C26" s="8" t="n">
        <v>629.259999999999991</v>
      </c>
      <c r="D26" s="8" t="n">
        <v>1112.32999999999993</v>
      </c>
    </row>
    <row r="27" spans="1:4">
      <c r="A27" s="8" t="s">
        <v>119</v>
      </c>
      <c r="B27" s="8" t="n">
        <v>16.370000000000001</v>
      </c>
      <c r="C27" s="8" t="n">
        <v>12.9700000000000006</v>
      </c>
      <c r="D27" s="8" t="n">
        <v>29.3400000000000034</v>
      </c>
    </row>
    <row r="28" spans="1:4">
      <c r="A28" s="8" t="s">
        <v>95</v>
      </c>
      <c r="B28" s="8" t="n">
        <v>520.279999999999973</v>
      </c>
      <c r="C28" s="8" t="n">
        <v>576.480000000000018</v>
      </c>
      <c r="D28" s="8" t="n">
        <v>1096.75999999999999</v>
      </c>
    </row>
    <row r="29" spans="1:4">
      <c r="A29" s="8" t="s">
        <v>84</v>
      </c>
      <c r="B29" s="8" t="n">
        <v>1290.54999999999995</v>
      </c>
      <c r="C29" s="8" t="n">
        <v>1299.52999999999997</v>
      </c>
      <c r="D29" s="8" t="n">
        <v>2590.07999999999993</v>
      </c>
    </row>
    <row r="30" spans="1:4">
      <c r="A30" s="8" t="s">
        <v>100</v>
      </c>
      <c r="B30" s="8" t="n">
        <v>290.389999999999986</v>
      </c>
      <c r="C30" s="8" t="n">
        <v>361.54000000000002</v>
      </c>
      <c r="D30" s="8" t="n">
        <v>651.930000000000064</v>
      </c>
    </row>
    <row r="31" spans="1:4">
      <c r="A31" s="8" t="s">
        <v>85</v>
      </c>
      <c r="B31" s="8" t="n">
        <v>1060.16000000000008</v>
      </c>
      <c r="C31" s="8" t="n">
        <v>1264.53999999999996</v>
      </c>
      <c r="D31" s="8" t="n">
        <v>2324.69999999999982</v>
      </c>
    </row>
    <row r="32" spans="1:4">
      <c r="A32" s="8" t="s">
        <v>77</v>
      </c>
      <c r="B32" s="8" t="n">
        <v>2060.38000000000011</v>
      </c>
      <c r="C32" s="8" t="n">
        <v>2845.40999999999985</v>
      </c>
      <c r="D32" s="8" t="n">
        <v>4905.78999999999996</v>
      </c>
    </row>
    <row r="33" spans="1:4">
      <c r="A33" s="8" t="s">
        <v>71</v>
      </c>
      <c r="B33" s="8" t="n">
        <v>6026.61999999999989</v>
      </c>
      <c r="C33" s="8" t="n">
        <v>6084.97999999999956</v>
      </c>
      <c r="D33" s="8" t="n">
        <v>12111.5999999999985</v>
      </c>
    </row>
    <row r="34" spans="1:4">
      <c r="A34" s="8" t="s">
        <v>78</v>
      </c>
      <c r="B34" s="8" t="n">
        <v>2629.90000000000009</v>
      </c>
      <c r="C34" s="8" t="n">
        <v>2670.23999999999978</v>
      </c>
      <c r="D34" s="8" t="n">
        <v>5300.13999999999942</v>
      </c>
    </row>
    <row r="35" spans="1:4">
      <c r="A35" s="8" t="s">
        <v>80</v>
      </c>
      <c r="B35" s="8" t="n">
        <v>2093.11000000000013</v>
      </c>
      <c r="C35" s="8" t="n">
        <v>2117.23999999999978</v>
      </c>
      <c r="D35" s="8" t="n">
        <v>4210.35000000000036</v>
      </c>
    </row>
    <row r="36" spans="1:4">
      <c r="A36" s="8" t="s">
        <v>92</v>
      </c>
      <c r="B36" s="8" t="n">
        <v>472.829999999999984</v>
      </c>
      <c r="C36" s="8" t="n">
        <v>695.549999999999955</v>
      </c>
      <c r="D36" s="8" t="n">
        <v>1168.37999999999988</v>
      </c>
    </row>
    <row r="37" spans="1:4">
      <c r="A37" s="8" t="s">
        <v>110</v>
      </c>
      <c r="B37" s="8" t="n">
        <v>86.0799999999999983</v>
      </c>
      <c r="C37" s="8" t="n">
        <v>141.77000000000001</v>
      </c>
      <c r="D37" s="8" t="n">
        <v>227.850000000000023</v>
      </c>
    </row>
    <row r="38" spans="1:4">
      <c r="A38" s="8" t="s">
        <v>108</v>
      </c>
      <c r="B38" s="8" t="n">
        <v>233.659999999999997</v>
      </c>
      <c r="C38" s="8" t="n">
        <v>210.879999999999995</v>
      </c>
      <c r="D38" s="8" t="n">
        <v>444.539999999999964</v>
      </c>
    </row>
    <row r="39" spans="1:4">
      <c r="A39" s="8" t="s">
        <v>226</v>
      </c>
      <c r="B39" s="8" t="n">
        <v>33593.5</v>
      </c>
      <c r="C39" s="8" t="n">
        <v>36417.679999999993</v>
      </c>
      <c r="D39" s="8" t="n">
        <v>70011.1800000000367</v>
      </c>
    </row>
  </sheetData>
  <printOptions>
    <extLst>
      <ext uri="smNativeData">
        <pm:pageFlags xmlns:pm="smNativeData" id="1780841053" printRowHead="0" printColHead="0" printHeadLine="0" printFootLine="0" autoHeightHeader="0" autoHeightFooter="0" fitToPageBoth="0"/>
      </ext>
    </extLst>
  </printOptions>
  <pageMargins left="1.000000" right="1.000000" top="1.000000" bottom="1.000000" header="0.393750" footer="0.393750"/>
  <pageSetup paperSize="1" fitToWidth="0" fitToHeight="1" pageOrder="overThenDown"/>
  <headerFooter>
    <extLst>
      <ext uri="smNativeData">
        <pm:header xmlns:pm="smNativeData" id="1780841053" l="56" r="56" t="56" b="56" borderId="0" fillId="0" vertical="0"/>
        <pm:footer xmlns:pm="smNativeData" id="1780841053" l="56" r="56" t="56" b="56" borderId="0" fillId="0" vertical="2"/>
        <pm:paperBin xmlns:pm="smNativeData" id="1780841053" Id="0" type="0" value="0"/>
        <pm:paperBin xmlns:pm="smNativeData" id="1780841053" Id="1" type="0" value="0"/>
      </ext>
    </extLst>
  </headerFooter>
  <extLst>
    <ext uri="smNativeData">
      <pm:sheetPrefs xmlns:pm="smNativeData" day="1780841053" outlineProtect="1" showHorizontalRuler="1" showVerticalRuler="1" showAltShade="0">
        <pm:shade id="0" type="0" fgLvl="100" fgClr="000000" bgLvl="100" bgClr="FFFFFF"/>
        <pm:shade id="1" type="0" fgLvl="100" fgClr="000000" bgLvl="100" bgClr="FFFFFF"/>
      </pm:sheetPrefs>
    </ext>
  </extLst>
</worksheet>
</file>

<file path=xl/worksheets/sheet8.xml><?xml version="1.0" encoding="utf-8"?>
<worksheet xmlns="http://schemas.openxmlformats.org/spreadsheetml/2006/main" xmlns:r="http://schemas.openxmlformats.org/officeDocument/2006/relationships" xmlns:mc="http://schemas.openxmlformats.org/markup-compatibility/2006">
  <dimension ref="A1:E341"/>
  <sheetViews>
    <sheetView view="normal" zoomScale="120" workbookViewId="0">
      <pane ySplit="1" topLeftCell="A2" activePane="bottomLeft" state="frozen"/>
      <selection pane="bottomLeft" activeCell="C5" sqref="C5"/>
    </sheetView>
  </sheetViews>
  <sheetFormatPr baseColWidth="9" defaultColWidth="10.000000" defaultRowHeight="13.45"/>
  <cols>
    <col min="1" max="1" width="40.063063" customWidth="1"/>
    <col min="2" max="2" width="11.963964" customWidth="1"/>
    <col min="3" max="3" width="15.261261" customWidth="1"/>
    <col min="4" max="4" width="24.702703" customWidth="1" style="89"/>
    <col min="5" max="5" width="15.342342" customWidth="1"/>
  </cols>
  <sheetData>
    <row r="1" spans="1:5" s="9" customFormat="1">
      <c r="A1" s="88" t="s">
        <v>73</v>
      </c>
      <c r="B1" s="88" t="s">
        <v>230</v>
      </c>
      <c r="C1" s="88" t="s">
        <v>52</v>
      </c>
      <c r="D1" s="88" t="s">
        <v>231</v>
      </c>
      <c r="E1" s="88" t="s">
        <v>137</v>
      </c>
    </row>
    <row r="2" spans="1:5">
      <c r="A2" s="56" t="str">
        <f aca="1">INDEX(Raw_GI_Council!$B$2:$B$100,ROUNDUP(ROW(A1)/5,0))</f>
        <v>Acko General Insurance Ltd</v>
      </c>
      <c r="B2" s="56" t="str">
        <f aca="1">INDEX(Raw_GI_Council!$C$2:$C$100,ROUNDUP(ROW(A1)/5,0))</f>
        <v>April-26</v>
      </c>
      <c r="C2" s="56" t="str">
        <f aca="1">INDEX(Raw_GI_Council!$D$1:$H$1,1,MOD(ROW(A1)-1,5)+1)</f>
        <v>Fire</v>
      </c>
      <c r="D2" s="90">
        <f aca="1">IF(INDEX(Raw_GI_Council!$D$2:$H$100,ROUNDUP(ROW(A1)/5,0),MOD(ROW(A1)-1,5)+1)="-",0,INDEX(Raw_GI_Council!$D$2:$H$100,ROUNDUP(ROW(A1)/5,0),MOD(ROW(A1)-1,5)+1))</f>
        <v>0.1</v>
      </c>
      <c r="E2" s="56" t="str">
        <f>"GI Council"</f>
        <v>GI Council</v>
      </c>
    </row>
    <row r="3" spans="1:5">
      <c r="A3" s="56" t="str">
        <f aca="1">INDEX(Raw_GI_Council!$B$2:$B$100,ROUNDUP(ROW(A2)/5,0))</f>
        <v>Acko General Insurance Ltd</v>
      </c>
      <c r="B3" s="56" t="str">
        <f aca="1">INDEX(Raw_GI_Council!$C$2:$C$100,ROUNDUP(ROW(A2)/5,0))</f>
        <v>April-26</v>
      </c>
      <c r="C3" s="56" t="str">
        <f aca="1">INDEX(Raw_GI_Council!$D$1:$H$1,1,MOD(ROW(A2)-1,5)+1)</f>
        <v>Marine_Total</v>
      </c>
      <c r="D3" s="90">
        <f aca="1">IF(INDEX(Raw_GI_Council!$D$2:$H$100,ROUNDUP(ROW(A2)/5,0),MOD(ROW(A2)-1,5)+1)="-",0,INDEX(Raw_GI_Council!$D$2:$H$100,ROUNDUP(ROW(A2)/5,0),MOD(ROW(A2)-1,5)+1))</f>
        <v>0</v>
      </c>
      <c r="E3" s="56" t="str">
        <f>"GI Council"</f>
        <v>GI Council</v>
      </c>
    </row>
    <row r="4" spans="1:5">
      <c r="A4" s="56" t="str">
        <f aca="1">INDEX(Raw_GI_Council!$B$2:$B$100,ROUNDUP(ROW(A3)/5,0))</f>
        <v>Acko General Insurance Ltd</v>
      </c>
      <c r="B4" s="56" t="str">
        <f aca="1">INDEX(Raw_GI_Council!$C$2:$C$100,ROUNDUP(ROW(A3)/5,0))</f>
        <v>April-26</v>
      </c>
      <c r="C4" s="56" t="str">
        <f aca="1">INDEX(Raw_GI_Council!$D$1:$H$1,1,MOD(ROW(A3)-1,5)+1)</f>
        <v>Motor_Total</v>
      </c>
      <c r="D4" s="90">
        <f aca="1">IF(INDEX(Raw_GI_Council!$D$2:$H$100,ROUNDUP(ROW(A3)/5,0),MOD(ROW(A3)-1,5)+1)="-",0,INDEX(Raw_GI_Council!$D$2:$H$100,ROUNDUP(ROW(A3)/5,0),MOD(ROW(A3)-1,5)+1))</f>
        <v>93.25</v>
      </c>
      <c r="E4" s="56" t="str">
        <f>"GI Council"</f>
        <v>GI Council</v>
      </c>
    </row>
    <row r="5" spans="1:5">
      <c r="A5" s="56" t="str">
        <f aca="1">INDEX(Raw_GI_Council!$B$2:$B$100,ROUNDUP(ROW(A4)/5,0))</f>
        <v>Acko General Insurance Ltd</v>
      </c>
      <c r="B5" s="56" t="str">
        <f aca="1">INDEX(Raw_GI_Council!$C$2:$C$100,ROUNDUP(ROW(A4)/5,0))</f>
        <v>April-26</v>
      </c>
      <c r="C5" s="56" t="str">
        <f aca="1">INDEX(Raw_GI_Council!$D$1:$H$1,1,MOD(ROW(A4)-1,5)+1)</f>
        <v>Health</v>
      </c>
      <c r="D5" s="90">
        <f aca="1">IF(INDEX(Raw_GI_Council!$D$2:$H$100,ROUNDUP(ROW(A4)/5,0),MOD(ROW(A4)-1,5)+1)="-",0,INDEX(Raw_GI_Council!$D$2:$H$100,ROUNDUP(ROW(A4)/5,0),MOD(ROW(A4)-1,5)+1))</f>
        <v>172.419999999999959</v>
      </c>
      <c r="E5" s="56" t="str">
        <f>"GI Council"</f>
        <v>GI Council</v>
      </c>
    </row>
    <row r="6" spans="1:5">
      <c r="A6" s="56" t="str">
        <f aca="1">INDEX(Raw_GI_Council!$B$2:$B$100,ROUNDUP(ROW(A5)/5,0))</f>
        <v>Acko General Insurance Ltd</v>
      </c>
      <c r="B6" s="56" t="str">
        <f aca="1">INDEX(Raw_GI_Council!$C$2:$C$100,ROUNDUP(ROW(A5)/5,0))</f>
        <v>April-26</v>
      </c>
      <c r="C6" s="56" t="str">
        <f aca="1">INDEX(Raw_GI_Council!$D$1:$H$1,1,MOD(ROW(A5)-1,5)+1)</f>
        <v>Grand_Total</v>
      </c>
      <c r="D6" s="90">
        <f aca="1">IF(INDEX(Raw_GI_Council!$D$2:$H$100,ROUNDUP(ROW(A5)/5,0),MOD(ROW(A5)-1,5)+1)="-",0,INDEX(Raw_GI_Council!$D$2:$H$100,ROUNDUP(ROW(A5)/5,0),MOD(ROW(A5)-1,5)+1))</f>
        <v>286.54000000000002</v>
      </c>
      <c r="E6" s="56" t="str">
        <f>"GI Council"</f>
        <v>GI Council</v>
      </c>
    </row>
    <row r="7" spans="1:5">
      <c r="A7" s="56" t="str">
        <f aca="1">INDEX(Raw_GI_Council!$B$2:$B$100,ROUNDUP(ROW(A6)/5,0))</f>
        <v>Acko General Insurance Ltd</v>
      </c>
      <c r="B7" s="56" t="str">
        <f aca="1">INDEX(Raw_GI_Council!$C$2:$C$100,ROUNDUP(ROW(A6)/5,0))</f>
        <v>April-25</v>
      </c>
      <c r="C7" s="56" t="str">
        <f aca="1">INDEX(Raw_GI_Council!$D$1:$H$1,1,MOD(ROW(A6)-1,5)+1)</f>
        <v>Fire</v>
      </c>
      <c r="D7" s="90">
        <f aca="1">IF(INDEX(Raw_GI_Council!$D$2:$H$100,ROUNDUP(ROW(A6)/5,0),MOD(ROW(A6)-1,5)+1)="-",0,INDEX(Raw_GI_Council!$D$2:$H$100,ROUNDUP(ROW(A6)/5,0),MOD(ROW(A6)-1,5)+1))</f>
        <v>0</v>
      </c>
      <c r="E7" s="56" t="str">
        <f>"GI Council"</f>
        <v>GI Council</v>
      </c>
    </row>
    <row r="8" spans="1:5">
      <c r="A8" s="56" t="str">
        <f aca="1">INDEX(Raw_GI_Council!$B$2:$B$100,ROUNDUP(ROW(A7)/5,0))</f>
        <v>Acko General Insurance Ltd</v>
      </c>
      <c r="B8" s="56" t="str">
        <f aca="1">INDEX(Raw_GI_Council!$C$2:$C$100,ROUNDUP(ROW(A7)/5,0))</f>
        <v>April-25</v>
      </c>
      <c r="C8" s="56" t="str">
        <f aca="1">INDEX(Raw_GI_Council!$D$1:$H$1,1,MOD(ROW(A7)-1,5)+1)</f>
        <v>Marine_Total</v>
      </c>
      <c r="D8" s="90">
        <f aca="1">IF(INDEX(Raw_GI_Council!$D$2:$H$100,ROUNDUP(ROW(A7)/5,0),MOD(ROW(A7)-1,5)+1)="-",0,INDEX(Raw_GI_Council!$D$2:$H$100,ROUNDUP(ROW(A7)/5,0),MOD(ROW(A7)-1,5)+1))</f>
        <v>0</v>
      </c>
      <c r="E8" s="56" t="str">
        <f>"GI Council"</f>
        <v>GI Council</v>
      </c>
    </row>
    <row r="9" spans="1:5">
      <c r="A9" s="56" t="str">
        <f aca="1">INDEX(Raw_GI_Council!$B$2:$B$100,ROUNDUP(ROW(A8)/5,0))</f>
        <v>Acko General Insurance Ltd</v>
      </c>
      <c r="B9" s="56" t="str">
        <f aca="1">INDEX(Raw_GI_Council!$C$2:$C$100,ROUNDUP(ROW(A8)/5,0))</f>
        <v>April-25</v>
      </c>
      <c r="C9" s="56" t="str">
        <f aca="1">INDEX(Raw_GI_Council!$D$1:$H$1,1,MOD(ROW(A8)-1,5)+1)</f>
        <v>Motor_Total</v>
      </c>
      <c r="D9" s="90">
        <f aca="1">IF(INDEX(Raw_GI_Council!$D$2:$H$100,ROUNDUP(ROW(A8)/5,0),MOD(ROW(A8)-1,5)+1)="-",0,INDEX(Raw_GI_Council!$D$2:$H$100,ROUNDUP(ROW(A8)/5,0),MOD(ROW(A8)-1,5)+1))</f>
        <v>76.8599999999999994</v>
      </c>
      <c r="E9" s="56" t="str">
        <f>"GI Council"</f>
        <v>GI Council</v>
      </c>
    </row>
    <row r="10" spans="1:5">
      <c r="A10" s="56" t="str">
        <f aca="1">INDEX(Raw_GI_Council!$B$2:$B$100,ROUNDUP(ROW(A9)/5,0))</f>
        <v>Acko General Insurance Ltd</v>
      </c>
      <c r="B10" s="56" t="str">
        <f aca="1">INDEX(Raw_GI_Council!$C$2:$C$100,ROUNDUP(ROW(A9)/5,0))</f>
        <v>April-25</v>
      </c>
      <c r="C10" s="56" t="str">
        <f aca="1">INDEX(Raw_GI_Council!$D$1:$H$1,1,MOD(ROW(A9)-1,5)+1)</f>
        <v>Health</v>
      </c>
      <c r="D10" s="90">
        <f aca="1">IF(INDEX(Raw_GI_Council!$D$2:$H$100,ROUNDUP(ROW(A9)/5,0),MOD(ROW(A9)-1,5)+1)="-",0,INDEX(Raw_GI_Council!$D$2:$H$100,ROUNDUP(ROW(A9)/5,0),MOD(ROW(A9)-1,5)+1))</f>
        <v>89.9899999999999807</v>
      </c>
      <c r="E10" s="56" t="str">
        <f>"GI Council"</f>
        <v>GI Council</v>
      </c>
    </row>
    <row r="11" spans="1:5">
      <c r="A11" s="56" t="str">
        <f aca="1">INDEX(Raw_GI_Council!$B$2:$B$100,ROUNDUP(ROW(A10)/5,0))</f>
        <v>Acko General Insurance Ltd</v>
      </c>
      <c r="B11" s="56" t="str">
        <f aca="1">INDEX(Raw_GI_Council!$C$2:$C$100,ROUNDUP(ROW(A10)/5,0))</f>
        <v>April-25</v>
      </c>
      <c r="C11" s="56" t="str">
        <f aca="1">INDEX(Raw_GI_Council!$D$1:$H$1,1,MOD(ROW(A10)-1,5)+1)</f>
        <v>Grand_Total</v>
      </c>
      <c r="D11" s="90">
        <f aca="1">IF(INDEX(Raw_GI_Council!$D$2:$H$100,ROUNDUP(ROW(A10)/5,0),MOD(ROW(A10)-1,5)+1)="-",0,INDEX(Raw_GI_Council!$D$2:$H$100,ROUNDUP(ROW(A10)/5,0),MOD(ROW(A10)-1,5)+1))</f>
        <v>177.430000000000007</v>
      </c>
      <c r="E11" s="56" t="str">
        <f>"GI Council"</f>
        <v>GI Council</v>
      </c>
    </row>
    <row r="12" spans="1:5">
      <c r="A12" s="56" t="str">
        <f aca="1">INDEX(Raw_GI_Council!$B$2:$B$100,ROUNDUP(ROW(A11)/5,0))</f>
        <v>Bajaj General Insurance Limited </v>
      </c>
      <c r="B12" s="56" t="str">
        <f aca="1">INDEX(Raw_GI_Council!$C$2:$C$100,ROUNDUP(ROW(A11)/5,0))</f>
        <v>April-26</v>
      </c>
      <c r="C12" s="56" t="str">
        <f aca="1">INDEX(Raw_GI_Council!$D$1:$H$1,1,MOD(ROW(A11)-1,5)+1)</f>
        <v>Fire</v>
      </c>
      <c r="D12" s="90">
        <f aca="1">IF(INDEX(Raw_GI_Council!$D$2:$H$100,ROUNDUP(ROW(A11)/5,0),MOD(ROW(A11)-1,5)+1)="-",0,INDEX(Raw_GI_Council!$D$2:$H$100,ROUNDUP(ROW(A11)/5,0),MOD(ROW(A11)-1,5)+1))</f>
        <v>578.539999999999964</v>
      </c>
      <c r="E12" s="56" t="str">
        <f>"GI Council"</f>
        <v>GI Council</v>
      </c>
    </row>
    <row r="13" spans="1:5">
      <c r="A13" s="56" t="str">
        <f aca="1">INDEX(Raw_GI_Council!$B$2:$B$100,ROUNDUP(ROW(A12)/5,0))</f>
        <v>Bajaj General Insurance Limited </v>
      </c>
      <c r="B13" s="56" t="str">
        <f aca="1">INDEX(Raw_GI_Council!$C$2:$C$100,ROUNDUP(ROW(A12)/5,0))</f>
        <v>April-26</v>
      </c>
      <c r="C13" s="56" t="str">
        <f aca="1">INDEX(Raw_GI_Council!$D$1:$H$1,1,MOD(ROW(A12)-1,5)+1)</f>
        <v>Marine_Total</v>
      </c>
      <c r="D13" s="90">
        <f aca="1">IF(INDEX(Raw_GI_Council!$D$2:$H$100,ROUNDUP(ROW(A12)/5,0),MOD(ROW(A12)-1,5)+1)="-",0,INDEX(Raw_GI_Council!$D$2:$H$100,ROUNDUP(ROW(A12)/5,0),MOD(ROW(A12)-1,5)+1))</f>
        <v>111.470000000000013</v>
      </c>
      <c r="E13" s="56" t="str">
        <f>"GI Council"</f>
        <v>GI Council</v>
      </c>
    </row>
    <row r="14" spans="1:5">
      <c r="A14" s="56" t="str">
        <f aca="1">INDEX(Raw_GI_Council!$B$2:$B$100,ROUNDUP(ROW(A13)/5,0))</f>
        <v>Bajaj General Insurance Limited </v>
      </c>
      <c r="B14" s="56" t="str">
        <f aca="1">INDEX(Raw_GI_Council!$C$2:$C$100,ROUNDUP(ROW(A13)/5,0))</f>
        <v>April-26</v>
      </c>
      <c r="C14" s="56" t="str">
        <f aca="1">INDEX(Raw_GI_Council!$D$1:$H$1,1,MOD(ROW(A13)-1,5)+1)</f>
        <v>Motor_Total</v>
      </c>
      <c r="D14" s="90">
        <f aca="1">IF(INDEX(Raw_GI_Council!$D$2:$H$100,ROUNDUP(ROW(A13)/5,0),MOD(ROW(A13)-1,5)+1)="-",0,INDEX(Raw_GI_Council!$D$2:$H$100,ROUNDUP(ROW(A13)/5,0),MOD(ROW(A13)-1,5)+1))</f>
        <v>615.230000000000018</v>
      </c>
      <c r="E14" s="56" t="str">
        <f>"GI Council"</f>
        <v>GI Council</v>
      </c>
    </row>
    <row r="15" spans="1:5">
      <c r="A15" s="56" t="str">
        <f aca="1">INDEX(Raw_GI_Council!$B$2:$B$100,ROUNDUP(ROW(A14)/5,0))</f>
        <v>Bajaj General Insurance Limited </v>
      </c>
      <c r="B15" s="56" t="str">
        <f aca="1">INDEX(Raw_GI_Council!$C$2:$C$100,ROUNDUP(ROW(A14)/5,0))</f>
        <v>April-26</v>
      </c>
      <c r="C15" s="56" t="str">
        <f aca="1">INDEX(Raw_GI_Council!$D$1:$H$1,1,MOD(ROW(A14)-1,5)+1)</f>
        <v>Health</v>
      </c>
      <c r="D15" s="90">
        <f aca="1">IF(INDEX(Raw_GI_Council!$D$2:$H$100,ROUNDUP(ROW(A14)/5,0),MOD(ROW(A14)-1,5)+1)="-",0,INDEX(Raw_GI_Council!$D$2:$H$100,ROUNDUP(ROW(A14)/5,0),MOD(ROW(A14)-1,5)+1))</f>
        <v>942.860000000000014</v>
      </c>
      <c r="E15" s="56" t="str">
        <f>"GI Council"</f>
        <v>GI Council</v>
      </c>
    </row>
    <row r="16" spans="1:5">
      <c r="A16" s="56" t="str">
        <f aca="1">INDEX(Raw_GI_Council!$B$2:$B$100,ROUNDUP(ROW(A15)/5,0))</f>
        <v>Bajaj General Insurance Limited </v>
      </c>
      <c r="B16" s="56" t="str">
        <f aca="1">INDEX(Raw_GI_Council!$C$2:$C$100,ROUNDUP(ROW(A15)/5,0))</f>
        <v>April-26</v>
      </c>
      <c r="C16" s="56" t="str">
        <f aca="1">INDEX(Raw_GI_Council!$D$1:$H$1,1,MOD(ROW(A15)-1,5)+1)</f>
        <v>Grand_Total</v>
      </c>
      <c r="D16" s="90">
        <f aca="1">IF(INDEX(Raw_GI_Council!$D$2:$H$100,ROUNDUP(ROW(A15)/5,0),MOD(ROW(A15)-1,5)+1)="-",0,INDEX(Raw_GI_Council!$D$2:$H$100,ROUNDUP(ROW(A15)/5,0),MOD(ROW(A15)-1,5)+1))</f>
        <v>2665.55000000000018</v>
      </c>
      <c r="E16" s="56" t="str">
        <f>"GI Council"</f>
        <v>GI Council</v>
      </c>
    </row>
    <row r="17" spans="1:5">
      <c r="A17" s="56" t="str">
        <f aca="1">INDEX(Raw_GI_Council!$B$2:$B$100,ROUNDUP(ROW(A16)/5,0))</f>
        <v>Bajaj General Insurance Limited </v>
      </c>
      <c r="B17" s="56" t="str">
        <f aca="1">INDEX(Raw_GI_Council!$C$2:$C$100,ROUNDUP(ROW(A16)/5,0))</f>
        <v>April-25</v>
      </c>
      <c r="C17" s="56" t="str">
        <f aca="1">INDEX(Raw_GI_Council!$D$1:$H$1,1,MOD(ROW(A16)-1,5)+1)</f>
        <v>Fire</v>
      </c>
      <c r="D17" s="90">
        <f aca="1">IF(INDEX(Raw_GI_Council!$D$2:$H$100,ROUNDUP(ROW(A16)/5,0),MOD(ROW(A16)-1,5)+1)="-",0,INDEX(Raw_GI_Council!$D$2:$H$100,ROUNDUP(ROW(A16)/5,0),MOD(ROW(A16)-1,5)+1))</f>
        <v>778.639999999999986</v>
      </c>
      <c r="E17" s="56" t="str">
        <f>"GI Council"</f>
        <v>GI Council</v>
      </c>
    </row>
    <row r="18" spans="1:5">
      <c r="A18" s="56" t="str">
        <f aca="1">INDEX(Raw_GI_Council!$B$2:$B$100,ROUNDUP(ROW(A17)/5,0))</f>
        <v>Bajaj General Insurance Limited </v>
      </c>
      <c r="B18" s="56" t="str">
        <f aca="1">INDEX(Raw_GI_Council!$C$2:$C$100,ROUNDUP(ROW(A17)/5,0))</f>
        <v>April-25</v>
      </c>
      <c r="C18" s="56" t="str">
        <f aca="1">INDEX(Raw_GI_Council!$D$1:$H$1,1,MOD(ROW(A17)-1,5)+1)</f>
        <v>Marine_Total</v>
      </c>
      <c r="D18" s="90">
        <f aca="1">IF(INDEX(Raw_GI_Council!$D$2:$H$100,ROUNDUP(ROW(A17)/5,0),MOD(ROW(A17)-1,5)+1)="-",0,INDEX(Raw_GI_Council!$D$2:$H$100,ROUNDUP(ROW(A17)/5,0),MOD(ROW(A17)-1,5)+1))</f>
        <v>72.9599999999999937</v>
      </c>
      <c r="E18" s="56" t="str">
        <f>"GI Council"</f>
        <v>GI Council</v>
      </c>
    </row>
    <row r="19" spans="1:5">
      <c r="A19" s="56" t="str">
        <f aca="1">INDEX(Raw_GI_Council!$B$2:$B$100,ROUNDUP(ROW(A18)/5,0))</f>
        <v>Bajaj General Insurance Limited </v>
      </c>
      <c r="B19" s="56" t="str">
        <f aca="1">INDEX(Raw_GI_Council!$C$2:$C$100,ROUNDUP(ROW(A18)/5,0))</f>
        <v>April-25</v>
      </c>
      <c r="C19" s="56" t="str">
        <f aca="1">INDEX(Raw_GI_Council!$D$1:$H$1,1,MOD(ROW(A18)-1,5)+1)</f>
        <v>Motor_Total</v>
      </c>
      <c r="D19" s="90">
        <f aca="1">IF(INDEX(Raw_GI_Council!$D$2:$H$100,ROUNDUP(ROW(A18)/5,0),MOD(ROW(A18)-1,5)+1)="-",0,INDEX(Raw_GI_Council!$D$2:$H$100,ROUNDUP(ROW(A18)/5,0),MOD(ROW(A18)-1,5)+1))</f>
        <v>546.710000000000036</v>
      </c>
      <c r="E19" s="56" t="str">
        <f>"GI Council"</f>
        <v>GI Council</v>
      </c>
    </row>
    <row r="20" spans="1:5">
      <c r="A20" s="56" t="str">
        <f aca="1">INDEX(Raw_GI_Council!$B$2:$B$100,ROUNDUP(ROW(A19)/5,0))</f>
        <v>Bajaj General Insurance Limited </v>
      </c>
      <c r="B20" s="56" t="str">
        <f aca="1">INDEX(Raw_GI_Council!$C$2:$C$100,ROUNDUP(ROW(A19)/5,0))</f>
        <v>April-25</v>
      </c>
      <c r="C20" s="56" t="str">
        <f aca="1">INDEX(Raw_GI_Council!$D$1:$H$1,1,MOD(ROW(A19)-1,5)+1)</f>
        <v>Health</v>
      </c>
      <c r="D20" s="90">
        <f aca="1">IF(INDEX(Raw_GI_Council!$D$2:$H$100,ROUNDUP(ROW(A19)/5,0),MOD(ROW(A19)-1,5)+1)="-",0,INDEX(Raw_GI_Council!$D$2:$H$100,ROUNDUP(ROW(A19)/5,0),MOD(ROW(A19)-1,5)+1))</f>
        <v>645.909999999999968</v>
      </c>
      <c r="E20" s="56" t="str">
        <f>"GI Council"</f>
        <v>GI Council</v>
      </c>
    </row>
    <row r="21" spans="1:5">
      <c r="A21" s="56" t="str">
        <f aca="1">INDEX(Raw_GI_Council!$B$2:$B$100,ROUNDUP(ROW(A20)/5,0))</f>
        <v>Bajaj General Insurance Limited </v>
      </c>
      <c r="B21" s="56" t="str">
        <f aca="1">INDEX(Raw_GI_Council!$C$2:$C$100,ROUNDUP(ROW(A20)/5,0))</f>
        <v>April-25</v>
      </c>
      <c r="C21" s="56" t="str">
        <f aca="1">INDEX(Raw_GI_Council!$D$1:$H$1,1,MOD(ROW(A20)-1,5)+1)</f>
        <v>Grand_Total</v>
      </c>
      <c r="D21" s="90">
        <f aca="1">IF(INDEX(Raw_GI_Council!$D$2:$H$100,ROUNDUP(ROW(A20)/5,0),MOD(ROW(A20)-1,5)+1)="-",0,INDEX(Raw_GI_Council!$D$2:$H$100,ROUNDUP(ROW(A20)/5,0),MOD(ROW(A20)-1,5)+1))</f>
        <v>2402.82000000000016</v>
      </c>
      <c r="E21" s="56" t="str">
        <f>"GI Council"</f>
        <v>GI Council</v>
      </c>
    </row>
    <row r="22" spans="1:5">
      <c r="A22" s="56" t="str">
        <f aca="1">INDEX(Raw_GI_Council!$B$2:$B$100,ROUNDUP(ROW(A21)/5,0))</f>
        <v>Cholamandalam MS General Insurance Co Ltd</v>
      </c>
      <c r="B22" s="56" t="str">
        <f aca="1">INDEX(Raw_GI_Council!$C$2:$C$100,ROUNDUP(ROW(A21)/5,0))</f>
        <v>April-26</v>
      </c>
      <c r="C22" s="56" t="str">
        <f aca="1">INDEX(Raw_GI_Council!$D$1:$H$1,1,MOD(ROW(A21)-1,5)+1)</f>
        <v>Fire</v>
      </c>
      <c r="D22" s="90">
        <f aca="1">IF(INDEX(Raw_GI_Council!$D$2:$H$100,ROUNDUP(ROW(A21)/5,0),MOD(ROW(A21)-1,5)+1)="-",0,INDEX(Raw_GI_Council!$D$2:$H$100,ROUNDUP(ROW(A21)/5,0),MOD(ROW(A21)-1,5)+1))</f>
        <v>98.8299999999999983</v>
      </c>
      <c r="E22" s="56" t="str">
        <f>"GI Council"</f>
        <v>GI Council</v>
      </c>
    </row>
    <row r="23" spans="1:5">
      <c r="A23" s="56" t="str">
        <f aca="1">INDEX(Raw_GI_Council!$B$2:$B$100,ROUNDUP(ROW(A22)/5,0))</f>
        <v>Cholamandalam MS General Insurance Co Ltd</v>
      </c>
      <c r="B23" s="56" t="str">
        <f aca="1">INDEX(Raw_GI_Council!$C$2:$C$100,ROUNDUP(ROW(A22)/5,0))</f>
        <v>April-26</v>
      </c>
      <c r="C23" s="56" t="str">
        <f aca="1">INDEX(Raw_GI_Council!$D$1:$H$1,1,MOD(ROW(A22)-1,5)+1)</f>
        <v>Marine_Total</v>
      </c>
      <c r="D23" s="90">
        <f aca="1">IF(INDEX(Raw_GI_Council!$D$2:$H$100,ROUNDUP(ROW(A22)/5,0),MOD(ROW(A22)-1,5)+1)="-",0,INDEX(Raw_GI_Council!$D$2:$H$100,ROUNDUP(ROW(A22)/5,0),MOD(ROW(A22)-1,5)+1))</f>
        <v>73.7800000000000011</v>
      </c>
      <c r="E23" s="56" t="str">
        <f>"GI Council"</f>
        <v>GI Council</v>
      </c>
    </row>
    <row r="24" spans="1:5">
      <c r="A24" s="56" t="str">
        <f aca="1">INDEX(Raw_GI_Council!$B$2:$B$100,ROUNDUP(ROW(A23)/5,0))</f>
        <v>Cholamandalam MS General Insurance Co Ltd</v>
      </c>
      <c r="B24" s="56" t="str">
        <f aca="1">INDEX(Raw_GI_Council!$C$2:$C$100,ROUNDUP(ROW(A23)/5,0))</f>
        <v>April-26</v>
      </c>
      <c r="C24" s="56" t="str">
        <f aca="1">INDEX(Raw_GI_Council!$D$1:$H$1,1,MOD(ROW(A23)-1,5)+1)</f>
        <v>Motor_Total</v>
      </c>
      <c r="D24" s="90">
        <f aca="1">IF(INDEX(Raw_GI_Council!$D$2:$H$100,ROUNDUP(ROW(A23)/5,0),MOD(ROW(A23)-1,5)+1)="-",0,INDEX(Raw_GI_Council!$D$2:$H$100,ROUNDUP(ROW(A23)/5,0),MOD(ROW(A23)-1,5)+1))</f>
        <v>451.490000000000009</v>
      </c>
      <c r="E24" s="56" t="str">
        <f>"GI Council"</f>
        <v>GI Council</v>
      </c>
    </row>
    <row r="25" spans="1:5">
      <c r="A25" s="56" t="str">
        <f aca="1">INDEX(Raw_GI_Council!$B$2:$B$100,ROUNDUP(ROW(A24)/5,0))</f>
        <v>Cholamandalam MS General Insurance Co Ltd</v>
      </c>
      <c r="B25" s="56" t="str">
        <f aca="1">INDEX(Raw_GI_Council!$C$2:$C$100,ROUNDUP(ROW(A24)/5,0))</f>
        <v>April-26</v>
      </c>
      <c r="C25" s="56" t="str">
        <f aca="1">INDEX(Raw_GI_Council!$D$1:$H$1,1,MOD(ROW(A24)-1,5)+1)</f>
        <v>Health</v>
      </c>
      <c r="D25" s="90">
        <f aca="1">IF(INDEX(Raw_GI_Council!$D$2:$H$100,ROUNDUP(ROW(A24)/5,0),MOD(ROW(A24)-1,5)+1)="-",0,INDEX(Raw_GI_Council!$D$2:$H$100,ROUNDUP(ROW(A24)/5,0),MOD(ROW(A24)-1,5)+1))</f>
        <v>85.7600000000000051</v>
      </c>
      <c r="E25" s="56" t="str">
        <f>"GI Council"</f>
        <v>GI Council</v>
      </c>
    </row>
    <row r="26" spans="1:5">
      <c r="A26" s="56" t="str">
        <f aca="1">INDEX(Raw_GI_Council!$B$2:$B$100,ROUNDUP(ROW(A25)/5,0))</f>
        <v>Cholamandalam MS General Insurance Co Ltd</v>
      </c>
      <c r="B26" s="56" t="str">
        <f aca="1">INDEX(Raw_GI_Council!$C$2:$C$100,ROUNDUP(ROW(A25)/5,0))</f>
        <v>April-26</v>
      </c>
      <c r="C26" s="56" t="str">
        <f aca="1">INDEX(Raw_GI_Council!$D$1:$H$1,1,MOD(ROW(A25)-1,5)+1)</f>
        <v>Grand_Total</v>
      </c>
      <c r="D26" s="90">
        <f aca="1">IF(INDEX(Raw_GI_Council!$D$2:$H$100,ROUNDUP(ROW(A25)/5,0),MOD(ROW(A25)-1,5)+1)="-",0,INDEX(Raw_GI_Council!$D$2:$H$100,ROUNDUP(ROW(A25)/5,0),MOD(ROW(A25)-1,5)+1))</f>
        <v>745.379999999999995</v>
      </c>
      <c r="E26" s="56" t="str">
        <f>"GI Council"</f>
        <v>GI Council</v>
      </c>
    </row>
    <row r="27" spans="1:5">
      <c r="A27" s="56" t="str">
        <f aca="1">INDEX(Raw_GI_Council!$B$2:$B$100,ROUNDUP(ROW(A26)/5,0))</f>
        <v>Cholamandalam MS General Insurance Co Ltd</v>
      </c>
      <c r="B27" s="56" t="str">
        <f aca="1">INDEX(Raw_GI_Council!$C$2:$C$100,ROUNDUP(ROW(A26)/5,0))</f>
        <v>April-25</v>
      </c>
      <c r="C27" s="56" t="str">
        <f aca="1">INDEX(Raw_GI_Council!$D$1:$H$1,1,MOD(ROW(A26)-1,5)+1)</f>
        <v>Fire</v>
      </c>
      <c r="D27" s="90">
        <f aca="1">IF(INDEX(Raw_GI_Council!$D$2:$H$100,ROUNDUP(ROW(A26)/5,0),MOD(ROW(A26)-1,5)+1)="-",0,INDEX(Raw_GI_Council!$D$2:$H$100,ROUNDUP(ROW(A26)/5,0),MOD(ROW(A26)-1,5)+1))</f>
        <v>123.310000000000002</v>
      </c>
      <c r="E27" s="56" t="str">
        <f>"GI Council"</f>
        <v>GI Council</v>
      </c>
    </row>
    <row r="28" spans="1:5">
      <c r="A28" s="56" t="str">
        <f aca="1">INDEX(Raw_GI_Council!$B$2:$B$100,ROUNDUP(ROW(A27)/5,0))</f>
        <v>Cholamandalam MS General Insurance Co Ltd</v>
      </c>
      <c r="B28" s="56" t="str">
        <f aca="1">INDEX(Raw_GI_Council!$C$2:$C$100,ROUNDUP(ROW(A27)/5,0))</f>
        <v>April-25</v>
      </c>
      <c r="C28" s="56" t="str">
        <f aca="1">INDEX(Raw_GI_Council!$D$1:$H$1,1,MOD(ROW(A27)-1,5)+1)</f>
        <v>Marine_Total</v>
      </c>
      <c r="D28" s="90">
        <f aca="1">IF(INDEX(Raw_GI_Council!$D$2:$H$100,ROUNDUP(ROW(A27)/5,0),MOD(ROW(A27)-1,5)+1)="-",0,INDEX(Raw_GI_Council!$D$2:$H$100,ROUNDUP(ROW(A27)/5,0),MOD(ROW(A27)-1,5)+1))</f>
        <v>30.75</v>
      </c>
      <c r="E28" s="56" t="str">
        <f>"GI Council"</f>
        <v>GI Council</v>
      </c>
    </row>
    <row r="29" spans="1:5">
      <c r="A29" s="56" t="str">
        <f aca="1">INDEX(Raw_GI_Council!$B$2:$B$100,ROUNDUP(ROW(A28)/5,0))</f>
        <v>Cholamandalam MS General Insurance Co Ltd</v>
      </c>
      <c r="B29" s="56" t="str">
        <f aca="1">INDEX(Raw_GI_Council!$C$2:$C$100,ROUNDUP(ROW(A28)/5,0))</f>
        <v>April-25</v>
      </c>
      <c r="C29" s="56" t="str">
        <f aca="1">INDEX(Raw_GI_Council!$D$1:$H$1,1,MOD(ROW(A28)-1,5)+1)</f>
        <v>Motor_Total</v>
      </c>
      <c r="D29" s="90">
        <f aca="1">IF(INDEX(Raw_GI_Council!$D$2:$H$100,ROUNDUP(ROW(A28)/5,0),MOD(ROW(A28)-1,5)+1)="-",0,INDEX(Raw_GI_Council!$D$2:$H$100,ROUNDUP(ROW(A28)/5,0),MOD(ROW(A28)-1,5)+1))</f>
        <v>404.490000000000009</v>
      </c>
      <c r="E29" s="56" t="str">
        <f>"GI Council"</f>
        <v>GI Council</v>
      </c>
    </row>
    <row r="30" spans="1:5">
      <c r="A30" s="56" t="str">
        <f aca="1">INDEX(Raw_GI_Council!$B$2:$B$100,ROUNDUP(ROW(A29)/5,0))</f>
        <v>Cholamandalam MS General Insurance Co Ltd</v>
      </c>
      <c r="B30" s="56" t="str">
        <f aca="1">INDEX(Raw_GI_Council!$C$2:$C$100,ROUNDUP(ROW(A29)/5,0))</f>
        <v>April-25</v>
      </c>
      <c r="C30" s="56" t="str">
        <f aca="1">INDEX(Raw_GI_Council!$D$1:$H$1,1,MOD(ROW(A29)-1,5)+1)</f>
        <v>Health</v>
      </c>
      <c r="D30" s="90">
        <f aca="1">IF(INDEX(Raw_GI_Council!$D$2:$H$100,ROUNDUP(ROW(A29)/5,0),MOD(ROW(A29)-1,5)+1)="-",0,INDEX(Raw_GI_Council!$D$2:$H$100,ROUNDUP(ROW(A29)/5,0),MOD(ROW(A29)-1,5)+1))</f>
        <v>122.640000000000001</v>
      </c>
      <c r="E30" s="56" t="str">
        <f>"GI Council"</f>
        <v>GI Council</v>
      </c>
    </row>
    <row r="31" spans="1:5">
      <c r="A31" s="56" t="str">
        <f aca="1">INDEX(Raw_GI_Council!$B$2:$B$100,ROUNDUP(ROW(A30)/5,0))</f>
        <v>Cholamandalam MS General Insurance Co Ltd</v>
      </c>
      <c r="B31" s="56" t="str">
        <f aca="1">INDEX(Raw_GI_Council!$C$2:$C$100,ROUNDUP(ROW(A30)/5,0))</f>
        <v>April-25</v>
      </c>
      <c r="C31" s="56" t="str">
        <f aca="1">INDEX(Raw_GI_Council!$D$1:$H$1,1,MOD(ROW(A30)-1,5)+1)</f>
        <v>Grand_Total</v>
      </c>
      <c r="D31" s="90">
        <f aca="1">IF(INDEX(Raw_GI_Council!$D$2:$H$100,ROUNDUP(ROW(A30)/5,0),MOD(ROW(A30)-1,5)+1)="-",0,INDEX(Raw_GI_Council!$D$2:$H$100,ROUNDUP(ROW(A30)/5,0),MOD(ROW(A30)-1,5)+1))</f>
        <v>708.580000000000041</v>
      </c>
      <c r="E31" s="56" t="str">
        <f>"GI Council"</f>
        <v>GI Council</v>
      </c>
    </row>
    <row r="32" spans="1:5">
      <c r="A32" s="56" t="str">
        <f aca="1">INDEX(Raw_GI_Council!$B$2:$B$100,ROUNDUP(ROW(A31)/5,0))</f>
        <v>Generali Central Insurance Company Limited</v>
      </c>
      <c r="B32" s="56" t="str">
        <f aca="1">INDEX(Raw_GI_Council!$C$2:$C$100,ROUNDUP(ROW(A31)/5,0))</f>
        <v>April-26</v>
      </c>
      <c r="C32" s="56" t="str">
        <f aca="1">INDEX(Raw_GI_Council!$D$1:$H$1,1,MOD(ROW(A31)-1,5)+1)</f>
        <v>Fire</v>
      </c>
      <c r="D32" s="90">
        <f aca="1">IF(INDEX(Raw_GI_Council!$D$2:$H$100,ROUNDUP(ROW(A31)/5,0),MOD(ROW(A31)-1,5)+1)="-",0,INDEX(Raw_GI_Council!$D$2:$H$100,ROUNDUP(ROW(A31)/5,0),MOD(ROW(A31)-1,5)+1))</f>
        <v>82.8900000000000006</v>
      </c>
      <c r="E32" s="56" t="str">
        <f>"GI Council"</f>
        <v>GI Council</v>
      </c>
    </row>
    <row r="33" spans="1:5">
      <c r="A33" s="56" t="str">
        <f aca="1">INDEX(Raw_GI_Council!$B$2:$B$100,ROUNDUP(ROW(A32)/5,0))</f>
        <v>Generali Central Insurance Company Limited</v>
      </c>
      <c r="B33" s="56" t="str">
        <f aca="1">INDEX(Raw_GI_Council!$C$2:$C$100,ROUNDUP(ROW(A32)/5,0))</f>
        <v>April-26</v>
      </c>
      <c r="C33" s="56" t="str">
        <f aca="1">INDEX(Raw_GI_Council!$D$1:$H$1,1,MOD(ROW(A32)-1,5)+1)</f>
        <v>Marine_Total</v>
      </c>
      <c r="D33" s="90">
        <f aca="1">IF(INDEX(Raw_GI_Council!$D$2:$H$100,ROUNDUP(ROW(A32)/5,0),MOD(ROW(A32)-1,5)+1)="-",0,INDEX(Raw_GI_Council!$D$2:$H$100,ROUNDUP(ROW(A32)/5,0),MOD(ROW(A32)-1,5)+1))</f>
        <v>21.8399999999999999</v>
      </c>
      <c r="E33" s="56" t="str">
        <f>"GI Council"</f>
        <v>GI Council</v>
      </c>
    </row>
    <row r="34" spans="1:5">
      <c r="A34" s="56" t="str">
        <f aca="1">INDEX(Raw_GI_Council!$B$2:$B$100,ROUNDUP(ROW(A33)/5,0))</f>
        <v>Generali Central Insurance Company Limited</v>
      </c>
      <c r="B34" s="56" t="str">
        <f aca="1">INDEX(Raw_GI_Council!$C$2:$C$100,ROUNDUP(ROW(A33)/5,0))</f>
        <v>April-26</v>
      </c>
      <c r="C34" s="56" t="str">
        <f aca="1">INDEX(Raw_GI_Council!$D$1:$H$1,1,MOD(ROW(A33)-1,5)+1)</f>
        <v>Motor_Total</v>
      </c>
      <c r="D34" s="90">
        <f aca="1">IF(INDEX(Raw_GI_Council!$D$2:$H$100,ROUNDUP(ROW(A33)/5,0),MOD(ROW(A33)-1,5)+1)="-",0,INDEX(Raw_GI_Council!$D$2:$H$100,ROUNDUP(ROW(A33)/5,0),MOD(ROW(A33)-1,5)+1))</f>
        <v>174.379999999999995</v>
      </c>
      <c r="E34" s="56" t="str">
        <f>"GI Council"</f>
        <v>GI Council</v>
      </c>
    </row>
    <row r="35" spans="1:5">
      <c r="A35" s="56" t="str">
        <f aca="1">INDEX(Raw_GI_Council!$B$2:$B$100,ROUNDUP(ROW(A34)/5,0))</f>
        <v>Generali Central Insurance Company Limited</v>
      </c>
      <c r="B35" s="56" t="str">
        <f aca="1">INDEX(Raw_GI_Council!$C$2:$C$100,ROUNDUP(ROW(A34)/5,0))</f>
        <v>April-26</v>
      </c>
      <c r="C35" s="56" t="str">
        <f aca="1">INDEX(Raw_GI_Council!$D$1:$H$1,1,MOD(ROW(A34)-1,5)+1)</f>
        <v>Health</v>
      </c>
      <c r="D35" s="90">
        <f aca="1">IF(INDEX(Raw_GI_Council!$D$2:$H$100,ROUNDUP(ROW(A34)/5,0),MOD(ROW(A34)-1,5)+1)="-",0,INDEX(Raw_GI_Council!$D$2:$H$100,ROUNDUP(ROW(A34)/5,0),MOD(ROW(A34)-1,5)+1))</f>
        <v>180.800000000000011</v>
      </c>
      <c r="E35" s="56" t="str">
        <f>"GI Council"</f>
        <v>GI Council</v>
      </c>
    </row>
    <row r="36" spans="1:5">
      <c r="A36" s="56" t="str">
        <f aca="1">INDEX(Raw_GI_Council!$B$2:$B$100,ROUNDUP(ROW(A35)/5,0))</f>
        <v>Generali Central Insurance Company Limited</v>
      </c>
      <c r="B36" s="56" t="str">
        <f aca="1">INDEX(Raw_GI_Council!$C$2:$C$100,ROUNDUP(ROW(A35)/5,0))</f>
        <v>April-26</v>
      </c>
      <c r="C36" s="56" t="str">
        <f aca="1">INDEX(Raw_GI_Council!$D$1:$H$1,1,MOD(ROW(A35)-1,5)+1)</f>
        <v>Grand_Total</v>
      </c>
      <c r="D36" s="90">
        <f aca="1">IF(INDEX(Raw_GI_Council!$D$2:$H$100,ROUNDUP(ROW(A35)/5,0),MOD(ROW(A35)-1,5)+1)="-",0,INDEX(Raw_GI_Council!$D$2:$H$100,ROUNDUP(ROW(A35)/5,0),MOD(ROW(A35)-1,5)+1))</f>
        <v>515.230000000000018</v>
      </c>
      <c r="E36" s="56" t="str">
        <f>"GI Council"</f>
        <v>GI Council</v>
      </c>
    </row>
    <row r="37" spans="1:5">
      <c r="A37" s="56" t="str">
        <f aca="1">INDEX(Raw_GI_Council!$B$2:$B$100,ROUNDUP(ROW(A36)/5,0))</f>
        <v>Generali Central Insurance Company Limited</v>
      </c>
      <c r="B37" s="56" t="str">
        <f aca="1">INDEX(Raw_GI_Council!$C$2:$C$100,ROUNDUP(ROW(A36)/5,0))</f>
        <v>April-25</v>
      </c>
      <c r="C37" s="56" t="str">
        <f aca="1">INDEX(Raw_GI_Council!$D$1:$H$1,1,MOD(ROW(A36)-1,5)+1)</f>
        <v>Fire</v>
      </c>
      <c r="D37" s="90">
        <f aca="1">IF(INDEX(Raw_GI_Council!$D$2:$H$100,ROUNDUP(ROW(A36)/5,0),MOD(ROW(A36)-1,5)+1)="-",0,INDEX(Raw_GI_Council!$D$2:$H$100,ROUNDUP(ROW(A36)/5,0),MOD(ROW(A36)-1,5)+1))</f>
        <v>158.560000000000002</v>
      </c>
      <c r="E37" s="56" t="str">
        <f>"GI Council"</f>
        <v>GI Council</v>
      </c>
    </row>
    <row r="38" spans="1:5">
      <c r="A38" s="56" t="str">
        <f aca="1">INDEX(Raw_GI_Council!$B$2:$B$100,ROUNDUP(ROW(A37)/5,0))</f>
        <v>Generali Central Insurance Company Limited</v>
      </c>
      <c r="B38" s="56" t="str">
        <f aca="1">INDEX(Raw_GI_Council!$C$2:$C$100,ROUNDUP(ROW(A37)/5,0))</f>
        <v>April-25</v>
      </c>
      <c r="C38" s="56" t="str">
        <f aca="1">INDEX(Raw_GI_Council!$D$1:$H$1,1,MOD(ROW(A37)-1,5)+1)</f>
        <v>Marine_Total</v>
      </c>
      <c r="D38" s="90">
        <f aca="1">IF(INDEX(Raw_GI_Council!$D$2:$H$100,ROUNDUP(ROW(A37)/5,0),MOD(ROW(A37)-1,5)+1)="-",0,INDEX(Raw_GI_Council!$D$2:$H$100,ROUNDUP(ROW(A37)/5,0),MOD(ROW(A37)-1,5)+1))</f>
        <v>20.3099999999999987</v>
      </c>
      <c r="E38" s="56" t="str">
        <f>"GI Council"</f>
        <v>GI Council</v>
      </c>
    </row>
    <row r="39" spans="1:5">
      <c r="A39" s="56" t="str">
        <f aca="1">INDEX(Raw_GI_Council!$B$2:$B$100,ROUNDUP(ROW(A38)/5,0))</f>
        <v>Generali Central Insurance Company Limited</v>
      </c>
      <c r="B39" s="56" t="str">
        <f aca="1">INDEX(Raw_GI_Council!$C$2:$C$100,ROUNDUP(ROW(A38)/5,0))</f>
        <v>April-25</v>
      </c>
      <c r="C39" s="56" t="str">
        <f aca="1">INDEX(Raw_GI_Council!$D$1:$H$1,1,MOD(ROW(A38)-1,5)+1)</f>
        <v>Motor_Total</v>
      </c>
      <c r="D39" s="90">
        <f aca="1">IF(INDEX(Raw_GI_Council!$D$2:$H$100,ROUNDUP(ROW(A38)/5,0),MOD(ROW(A38)-1,5)+1)="-",0,INDEX(Raw_GI_Council!$D$2:$H$100,ROUNDUP(ROW(A38)/5,0),MOD(ROW(A38)-1,5)+1))</f>
        <v>151.800000000000011</v>
      </c>
      <c r="E39" s="56" t="str">
        <f>"GI Council"</f>
        <v>GI Council</v>
      </c>
    </row>
    <row r="40" spans="1:5">
      <c r="A40" s="56" t="str">
        <f aca="1">INDEX(Raw_GI_Council!$B$2:$B$100,ROUNDUP(ROW(A39)/5,0))</f>
        <v>Generali Central Insurance Company Limited</v>
      </c>
      <c r="B40" s="56" t="str">
        <f aca="1">INDEX(Raw_GI_Council!$C$2:$C$100,ROUNDUP(ROW(A39)/5,0))</f>
        <v>April-25</v>
      </c>
      <c r="C40" s="56" t="str">
        <f aca="1">INDEX(Raw_GI_Council!$D$1:$H$1,1,MOD(ROW(A39)-1,5)+1)</f>
        <v>Health</v>
      </c>
      <c r="D40" s="90">
        <f aca="1">IF(INDEX(Raw_GI_Council!$D$2:$H$100,ROUNDUP(ROW(A39)/5,0),MOD(ROW(A39)-1,5)+1)="-",0,INDEX(Raw_GI_Council!$D$2:$H$100,ROUNDUP(ROW(A39)/5,0),MOD(ROW(A39)-1,5)+1))</f>
        <v>263.490000000000009</v>
      </c>
      <c r="E40" s="56" t="str">
        <f>"GI Council"</f>
        <v>GI Council</v>
      </c>
    </row>
    <row r="41" spans="1:5">
      <c r="A41" s="56" t="str">
        <f aca="1">INDEX(Raw_GI_Council!$B$2:$B$100,ROUNDUP(ROW(A40)/5,0))</f>
        <v>Generali Central Insurance Company Limited</v>
      </c>
      <c r="B41" s="56" t="str">
        <f aca="1">INDEX(Raw_GI_Council!$C$2:$C$100,ROUNDUP(ROW(A40)/5,0))</f>
        <v>April-25</v>
      </c>
      <c r="C41" s="56" t="str">
        <f aca="1">INDEX(Raw_GI_Council!$D$1:$H$1,1,MOD(ROW(A40)-1,5)+1)</f>
        <v>Grand_Total</v>
      </c>
      <c r="D41" s="90">
        <f aca="1">IF(INDEX(Raw_GI_Council!$D$2:$H$100,ROUNDUP(ROW(A40)/5,0),MOD(ROW(A40)-1,5)+1)="-",0,INDEX(Raw_GI_Council!$D$2:$H$100,ROUNDUP(ROW(A40)/5,0),MOD(ROW(A40)-1,5)+1))</f>
        <v>641.049999999999955</v>
      </c>
      <c r="E41" s="56" t="str">
        <f>"GI Council"</f>
        <v>GI Council</v>
      </c>
    </row>
    <row r="42" spans="1:5">
      <c r="A42" s="56" t="str">
        <f aca="1">INDEX(Raw_GI_Council!$B$2:$B$100,ROUNDUP(ROW(A41)/5,0))</f>
        <v>Go Digit General Insurance Ltd</v>
      </c>
      <c r="B42" s="56" t="str">
        <f aca="1">INDEX(Raw_GI_Council!$C$2:$C$100,ROUNDUP(ROW(A41)/5,0))</f>
        <v>April-26</v>
      </c>
      <c r="C42" s="56" t="str">
        <f aca="1">INDEX(Raw_GI_Council!$D$1:$H$1,1,MOD(ROW(A41)-1,5)+1)</f>
        <v>Fire</v>
      </c>
      <c r="D42" s="90">
        <f aca="1">IF(INDEX(Raw_GI_Council!$D$2:$H$100,ROUNDUP(ROW(A41)/5,0),MOD(ROW(A41)-1,5)+1)="-",0,INDEX(Raw_GI_Council!$D$2:$H$100,ROUNDUP(ROW(A41)/5,0),MOD(ROW(A41)-1,5)+1))</f>
        <v>109.470000000000013</v>
      </c>
      <c r="E42" s="56" t="str">
        <f>"GI Council"</f>
        <v>GI Council</v>
      </c>
    </row>
    <row r="43" spans="1:5">
      <c r="A43" s="56" t="str">
        <f aca="1">INDEX(Raw_GI_Council!$B$2:$B$100,ROUNDUP(ROW(A42)/5,0))</f>
        <v>Go Digit General Insurance Ltd</v>
      </c>
      <c r="B43" s="56" t="str">
        <f aca="1">INDEX(Raw_GI_Council!$C$2:$C$100,ROUNDUP(ROW(A42)/5,0))</f>
        <v>April-26</v>
      </c>
      <c r="C43" s="56" t="str">
        <f aca="1">INDEX(Raw_GI_Council!$D$1:$H$1,1,MOD(ROW(A42)-1,5)+1)</f>
        <v>Marine_Total</v>
      </c>
      <c r="D43" s="90">
        <f aca="1">IF(INDEX(Raw_GI_Council!$D$2:$H$100,ROUNDUP(ROW(A42)/5,0),MOD(ROW(A42)-1,5)+1)="-",0,INDEX(Raw_GI_Council!$D$2:$H$100,ROUNDUP(ROW(A42)/5,0),MOD(ROW(A42)-1,5)+1))</f>
        <v>27.3000000000000007</v>
      </c>
      <c r="E43" s="56" t="str">
        <f>"GI Council"</f>
        <v>GI Council</v>
      </c>
    </row>
    <row r="44" spans="1:5">
      <c r="A44" s="56" t="str">
        <f aca="1">INDEX(Raw_GI_Council!$B$2:$B$100,ROUNDUP(ROW(A43)/5,0))</f>
        <v>Go Digit General Insurance Ltd</v>
      </c>
      <c r="B44" s="56" t="str">
        <f aca="1">INDEX(Raw_GI_Council!$C$2:$C$100,ROUNDUP(ROW(A43)/5,0))</f>
        <v>April-26</v>
      </c>
      <c r="C44" s="56" t="str">
        <f aca="1">INDEX(Raw_GI_Council!$D$1:$H$1,1,MOD(ROW(A43)-1,5)+1)</f>
        <v>Motor_Total</v>
      </c>
      <c r="D44" s="90">
        <f aca="1">IF(INDEX(Raw_GI_Council!$D$2:$H$100,ROUNDUP(ROW(A43)/5,0),MOD(ROW(A43)-1,5)+1)="-",0,INDEX(Raw_GI_Council!$D$2:$H$100,ROUNDUP(ROW(A43)/5,0),MOD(ROW(A43)-1,5)+1))</f>
        <v>517.309999999999945</v>
      </c>
      <c r="E44" s="56" t="str">
        <f>"GI Council"</f>
        <v>GI Council</v>
      </c>
    </row>
    <row r="45" spans="1:5">
      <c r="A45" s="56" t="str">
        <f aca="1">INDEX(Raw_GI_Council!$B$2:$B$100,ROUNDUP(ROW(A44)/5,0))</f>
        <v>Go Digit General Insurance Ltd</v>
      </c>
      <c r="B45" s="56" t="str">
        <f aca="1">INDEX(Raw_GI_Council!$C$2:$C$100,ROUNDUP(ROW(A44)/5,0))</f>
        <v>April-26</v>
      </c>
      <c r="C45" s="56" t="str">
        <f aca="1">INDEX(Raw_GI_Council!$D$1:$H$1,1,MOD(ROW(A44)-1,5)+1)</f>
        <v>Health</v>
      </c>
      <c r="D45" s="90">
        <f aca="1">IF(INDEX(Raw_GI_Council!$D$2:$H$100,ROUNDUP(ROW(A44)/5,0),MOD(ROW(A44)-1,5)+1)="-",0,INDEX(Raw_GI_Council!$D$2:$H$100,ROUNDUP(ROW(A44)/5,0),MOD(ROW(A44)-1,5)+1))</f>
        <v>204.300000000000011</v>
      </c>
      <c r="E45" s="56" t="str">
        <f>"GI Council"</f>
        <v>GI Council</v>
      </c>
    </row>
    <row r="46" spans="1:5">
      <c r="A46" s="56" t="str">
        <f aca="1">INDEX(Raw_GI_Council!$B$2:$B$100,ROUNDUP(ROW(A45)/5,0))</f>
        <v>Go Digit General Insurance Ltd</v>
      </c>
      <c r="B46" s="56" t="str">
        <f aca="1">INDEX(Raw_GI_Council!$C$2:$C$100,ROUNDUP(ROW(A45)/5,0))</f>
        <v>April-26</v>
      </c>
      <c r="C46" s="56" t="str">
        <f aca="1">INDEX(Raw_GI_Council!$D$1:$H$1,1,MOD(ROW(A45)-1,5)+1)</f>
        <v>Grand_Total</v>
      </c>
      <c r="D46" s="90">
        <f aca="1">IF(INDEX(Raw_GI_Council!$D$2:$H$100,ROUNDUP(ROW(A45)/5,0),MOD(ROW(A45)-1,5)+1)="-",0,INDEX(Raw_GI_Council!$D$2:$H$100,ROUNDUP(ROW(A45)/5,0),MOD(ROW(A45)-1,5)+1))</f>
        <v>967.549999999999955</v>
      </c>
      <c r="E46" s="56" t="str">
        <f>"GI Council"</f>
        <v>GI Council</v>
      </c>
    </row>
    <row r="47" spans="1:5">
      <c r="A47" s="56" t="str">
        <f aca="1">INDEX(Raw_GI_Council!$B$2:$B$100,ROUNDUP(ROW(A46)/5,0))</f>
        <v>Go Digit General Insurance Ltd</v>
      </c>
      <c r="B47" s="56" t="str">
        <f aca="1">INDEX(Raw_GI_Council!$C$2:$C$100,ROUNDUP(ROW(A46)/5,0))</f>
        <v>April-25</v>
      </c>
      <c r="C47" s="56" t="str">
        <f aca="1">INDEX(Raw_GI_Council!$D$1:$H$1,1,MOD(ROW(A46)-1,5)+1)</f>
        <v>Fire</v>
      </c>
      <c r="D47" s="90">
        <f aca="1">IF(INDEX(Raw_GI_Council!$D$2:$H$100,ROUNDUP(ROW(A46)/5,0),MOD(ROW(A46)-1,5)+1)="-",0,INDEX(Raw_GI_Council!$D$2:$H$100,ROUNDUP(ROW(A46)/5,0),MOD(ROW(A46)-1,5)+1))</f>
        <v>213.490000000000009</v>
      </c>
      <c r="E47" s="56" t="str">
        <f>"GI Council"</f>
        <v>GI Council</v>
      </c>
    </row>
    <row r="48" spans="1:5">
      <c r="A48" s="56" t="str">
        <f aca="1">INDEX(Raw_GI_Council!$B$2:$B$100,ROUNDUP(ROW(A47)/5,0))</f>
        <v>Go Digit General Insurance Ltd</v>
      </c>
      <c r="B48" s="56" t="str">
        <f aca="1">INDEX(Raw_GI_Council!$C$2:$C$100,ROUNDUP(ROW(A47)/5,0))</f>
        <v>April-25</v>
      </c>
      <c r="C48" s="56" t="str">
        <f aca="1">INDEX(Raw_GI_Council!$D$1:$H$1,1,MOD(ROW(A47)-1,5)+1)</f>
        <v>Marine_Total</v>
      </c>
      <c r="D48" s="90">
        <f aca="1">IF(INDEX(Raw_GI_Council!$D$2:$H$100,ROUNDUP(ROW(A47)/5,0),MOD(ROW(A47)-1,5)+1)="-",0,INDEX(Raw_GI_Council!$D$2:$H$100,ROUNDUP(ROW(A47)/5,0),MOD(ROW(A47)-1,5)+1))</f>
        <v>21.9100000000000001</v>
      </c>
      <c r="E48" s="56" t="str">
        <f>"GI Council"</f>
        <v>GI Council</v>
      </c>
    </row>
    <row r="49" spans="1:5">
      <c r="A49" s="56" t="str">
        <f aca="1">INDEX(Raw_GI_Council!$B$2:$B$100,ROUNDUP(ROW(A48)/5,0))</f>
        <v>Go Digit General Insurance Ltd</v>
      </c>
      <c r="B49" s="56" t="str">
        <f aca="1">INDEX(Raw_GI_Council!$C$2:$C$100,ROUNDUP(ROW(A48)/5,0))</f>
        <v>April-25</v>
      </c>
      <c r="C49" s="56" t="str">
        <f aca="1">INDEX(Raw_GI_Council!$D$1:$H$1,1,MOD(ROW(A48)-1,5)+1)</f>
        <v>Motor_Total</v>
      </c>
      <c r="D49" s="90">
        <f aca="1">IF(INDEX(Raw_GI_Council!$D$2:$H$100,ROUNDUP(ROW(A48)/5,0),MOD(ROW(A48)-1,5)+1)="-",0,INDEX(Raw_GI_Council!$D$2:$H$100,ROUNDUP(ROW(A48)/5,0),MOD(ROW(A48)-1,5)+1))</f>
        <v>496.639999999999986</v>
      </c>
      <c r="E49" s="56" t="str">
        <f>"GI Council"</f>
        <v>GI Council</v>
      </c>
    </row>
    <row r="50" spans="1:5">
      <c r="A50" s="56" t="str">
        <f aca="1">INDEX(Raw_GI_Council!$B$2:$B$100,ROUNDUP(ROW(A49)/5,0))</f>
        <v>Go Digit General Insurance Ltd</v>
      </c>
      <c r="B50" s="56" t="str">
        <f aca="1">INDEX(Raw_GI_Council!$C$2:$C$100,ROUNDUP(ROW(A49)/5,0))</f>
        <v>April-25</v>
      </c>
      <c r="C50" s="56" t="str">
        <f aca="1">INDEX(Raw_GI_Council!$D$1:$H$1,1,MOD(ROW(A49)-1,5)+1)</f>
        <v>Health</v>
      </c>
      <c r="D50" s="90">
        <f aca="1">IF(INDEX(Raw_GI_Council!$D$2:$H$100,ROUNDUP(ROW(A49)/5,0),MOD(ROW(A49)-1,5)+1)="-",0,INDEX(Raw_GI_Council!$D$2:$H$100,ROUNDUP(ROW(A49)/5,0),MOD(ROW(A49)-1,5)+1))</f>
        <v>184.75</v>
      </c>
      <c r="E50" s="56" t="str">
        <f>"GI Council"</f>
        <v>GI Council</v>
      </c>
    </row>
    <row r="51" spans="1:5">
      <c r="A51" s="56" t="str">
        <f aca="1">INDEX(Raw_GI_Council!$B$2:$B$100,ROUNDUP(ROW(A50)/5,0))</f>
        <v>Go Digit General Insurance Ltd</v>
      </c>
      <c r="B51" s="56" t="str">
        <f aca="1">INDEX(Raw_GI_Council!$C$2:$C$100,ROUNDUP(ROW(A50)/5,0))</f>
        <v>April-25</v>
      </c>
      <c r="C51" s="56" t="str">
        <f aca="1">INDEX(Raw_GI_Council!$D$1:$H$1,1,MOD(ROW(A50)-1,5)+1)</f>
        <v>Grand_Total</v>
      </c>
      <c r="D51" s="90">
        <f aca="1">IF(INDEX(Raw_GI_Council!$D$2:$H$100,ROUNDUP(ROW(A50)/5,0),MOD(ROW(A50)-1,5)+1)="-",0,INDEX(Raw_GI_Council!$D$2:$H$100,ROUNDUP(ROW(A50)/5,0),MOD(ROW(A50)-1,5)+1))</f>
        <v>1000.64999999999998</v>
      </c>
      <c r="E51" s="56" t="str">
        <f>"GI Council"</f>
        <v>GI Council</v>
      </c>
    </row>
    <row r="52" spans="1:5">
      <c r="A52" s="56" t="str">
        <f aca="1">INDEX(Raw_GI_Council!$B$2:$B$100,ROUNDUP(ROW(A51)/5,0))</f>
        <v>HDFC Ergo General Insurance Co Ltd</v>
      </c>
      <c r="B52" s="56" t="str">
        <f aca="1">INDEX(Raw_GI_Council!$C$2:$C$100,ROUNDUP(ROW(A51)/5,0))</f>
        <v>April-26</v>
      </c>
      <c r="C52" s="56" t="str">
        <f aca="1">INDEX(Raw_GI_Council!$D$1:$H$1,1,MOD(ROW(A51)-1,5)+1)</f>
        <v>Fire</v>
      </c>
      <c r="D52" s="90">
        <f aca="1">IF(INDEX(Raw_GI_Council!$D$2:$H$100,ROUNDUP(ROW(A51)/5,0),MOD(ROW(A51)-1,5)+1)="-",0,INDEX(Raw_GI_Council!$D$2:$H$100,ROUNDUP(ROW(A51)/5,0),MOD(ROW(A51)-1,5)+1))</f>
        <v>337.139999999999986</v>
      </c>
      <c r="E52" s="56" t="str">
        <f>"GI Council"</f>
        <v>GI Council</v>
      </c>
    </row>
    <row r="53" spans="1:5">
      <c r="A53" s="56" t="str">
        <f aca="1">INDEX(Raw_GI_Council!$B$2:$B$100,ROUNDUP(ROW(A52)/5,0))</f>
        <v>HDFC Ergo General Insurance Co Ltd</v>
      </c>
      <c r="B53" s="56" t="str">
        <f aca="1">INDEX(Raw_GI_Council!$C$2:$C$100,ROUNDUP(ROW(A52)/5,0))</f>
        <v>April-26</v>
      </c>
      <c r="C53" s="56" t="str">
        <f aca="1">INDEX(Raw_GI_Council!$D$1:$H$1,1,MOD(ROW(A52)-1,5)+1)</f>
        <v>Marine_Total</v>
      </c>
      <c r="D53" s="90">
        <f aca="1">IF(INDEX(Raw_GI_Council!$D$2:$H$100,ROUNDUP(ROW(A52)/5,0),MOD(ROW(A52)-1,5)+1)="-",0,INDEX(Raw_GI_Council!$D$2:$H$100,ROUNDUP(ROW(A52)/5,0),MOD(ROW(A52)-1,5)+1))</f>
        <v>49.6700000000000017</v>
      </c>
      <c r="E53" s="56" t="str">
        <f>"GI Council"</f>
        <v>GI Council</v>
      </c>
    </row>
    <row r="54" spans="1:5">
      <c r="A54" s="56" t="str">
        <f aca="1">INDEX(Raw_GI_Council!$B$2:$B$100,ROUNDUP(ROW(A53)/5,0))</f>
        <v>HDFC Ergo General Insurance Co Ltd</v>
      </c>
      <c r="B54" s="56" t="str">
        <f aca="1">INDEX(Raw_GI_Council!$C$2:$C$100,ROUNDUP(ROW(A53)/5,0))</f>
        <v>April-26</v>
      </c>
      <c r="C54" s="56" t="str">
        <f aca="1">INDEX(Raw_GI_Council!$D$1:$H$1,1,MOD(ROW(A53)-1,5)+1)</f>
        <v>Motor_Total</v>
      </c>
      <c r="D54" s="90">
        <f aca="1">IF(INDEX(Raw_GI_Council!$D$2:$H$100,ROUNDUP(ROW(A53)/5,0),MOD(ROW(A53)-1,5)+1)="-",0,INDEX(Raw_GI_Council!$D$2:$H$100,ROUNDUP(ROW(A53)/5,0),MOD(ROW(A53)-1,5)+1))</f>
        <v>284.939999999999998</v>
      </c>
      <c r="E54" s="56" t="str">
        <f>"GI Council"</f>
        <v>GI Council</v>
      </c>
    </row>
    <row r="55" spans="1:5">
      <c r="A55" s="56" t="str">
        <f aca="1">INDEX(Raw_GI_Council!$B$2:$B$100,ROUNDUP(ROW(A54)/5,0))</f>
        <v>HDFC Ergo General Insurance Co Ltd</v>
      </c>
      <c r="B55" s="56" t="str">
        <f aca="1">INDEX(Raw_GI_Council!$C$2:$C$100,ROUNDUP(ROW(A54)/5,0))</f>
        <v>April-26</v>
      </c>
      <c r="C55" s="56" t="str">
        <f aca="1">INDEX(Raw_GI_Council!$D$1:$H$1,1,MOD(ROW(A54)-1,5)+1)</f>
        <v>Health</v>
      </c>
      <c r="D55" s="90">
        <f aca="1">IF(INDEX(Raw_GI_Council!$D$2:$H$100,ROUNDUP(ROW(A54)/5,0),MOD(ROW(A54)-1,5)+1)="-",0,INDEX(Raw_GI_Council!$D$2:$H$100,ROUNDUP(ROW(A54)/5,0),MOD(ROW(A54)-1,5)+1))</f>
        <v>779.600000000000023</v>
      </c>
      <c r="E55" s="56" t="str">
        <f>"GI Council"</f>
        <v>GI Council</v>
      </c>
    </row>
    <row r="56" spans="1:5">
      <c r="A56" s="56" t="str">
        <f aca="1">INDEX(Raw_GI_Council!$B$2:$B$100,ROUNDUP(ROW(A55)/5,0))</f>
        <v>HDFC Ergo General Insurance Co Ltd</v>
      </c>
      <c r="B56" s="56" t="str">
        <f aca="1">INDEX(Raw_GI_Council!$C$2:$C$100,ROUNDUP(ROW(A55)/5,0))</f>
        <v>April-26</v>
      </c>
      <c r="C56" s="56" t="str">
        <f aca="1">INDEX(Raw_GI_Council!$D$1:$H$1,1,MOD(ROW(A55)-1,5)+1)</f>
        <v>Grand_Total</v>
      </c>
      <c r="D56" s="90">
        <f aca="1">IF(INDEX(Raw_GI_Council!$D$2:$H$100,ROUNDUP(ROW(A55)/5,0),MOD(ROW(A55)-1,5)+1)="-",0,INDEX(Raw_GI_Council!$D$2:$H$100,ROUNDUP(ROW(A55)/5,0),MOD(ROW(A55)-1,5)+1))</f>
        <v>1743.27999999999997</v>
      </c>
      <c r="E56" s="56" t="str">
        <f>"GI Council"</f>
        <v>GI Council</v>
      </c>
    </row>
    <row r="57" spans="1:5">
      <c r="A57" s="56" t="str">
        <f aca="1">INDEX(Raw_GI_Council!$B$2:$B$100,ROUNDUP(ROW(A56)/5,0))</f>
        <v>HDFC Ergo General Insurance Co Ltd</v>
      </c>
      <c r="B57" s="56" t="str">
        <f aca="1">INDEX(Raw_GI_Council!$C$2:$C$100,ROUNDUP(ROW(A56)/5,0))</f>
        <v>April-25</v>
      </c>
      <c r="C57" s="56" t="str">
        <f aca="1">INDEX(Raw_GI_Council!$D$1:$H$1,1,MOD(ROW(A56)-1,5)+1)</f>
        <v>Fire</v>
      </c>
      <c r="D57" s="90">
        <f aca="1">IF(INDEX(Raw_GI_Council!$D$2:$H$100,ROUNDUP(ROW(A56)/5,0),MOD(ROW(A56)-1,5)+1)="-",0,INDEX(Raw_GI_Council!$D$2:$H$100,ROUNDUP(ROW(A56)/5,0),MOD(ROW(A56)-1,5)+1))</f>
        <v>524.919999999999959</v>
      </c>
      <c r="E57" s="56" t="str">
        <f>"GI Council"</f>
        <v>GI Council</v>
      </c>
    </row>
    <row r="58" spans="1:5">
      <c r="A58" s="56" t="str">
        <f aca="1">INDEX(Raw_GI_Council!$B$2:$B$100,ROUNDUP(ROW(A57)/5,0))</f>
        <v>HDFC Ergo General Insurance Co Ltd</v>
      </c>
      <c r="B58" s="56" t="str">
        <f aca="1">INDEX(Raw_GI_Council!$C$2:$C$100,ROUNDUP(ROW(A57)/5,0))</f>
        <v>April-25</v>
      </c>
      <c r="C58" s="56" t="str">
        <f aca="1">INDEX(Raw_GI_Council!$D$1:$H$1,1,MOD(ROW(A57)-1,5)+1)</f>
        <v>Marine_Total</v>
      </c>
      <c r="D58" s="90">
        <f aca="1">IF(INDEX(Raw_GI_Council!$D$2:$H$100,ROUNDUP(ROW(A57)/5,0),MOD(ROW(A57)-1,5)+1)="-",0,INDEX(Raw_GI_Council!$D$2:$H$100,ROUNDUP(ROW(A57)/5,0),MOD(ROW(A57)-1,5)+1))</f>
        <v>33.25</v>
      </c>
      <c r="E58" s="56" t="str">
        <f>"GI Council"</f>
        <v>GI Council</v>
      </c>
    </row>
    <row r="59" spans="1:5">
      <c r="A59" s="56" t="str">
        <f aca="1">INDEX(Raw_GI_Council!$B$2:$B$100,ROUNDUP(ROW(A58)/5,0))</f>
        <v>HDFC Ergo General Insurance Co Ltd</v>
      </c>
      <c r="B59" s="56" t="str">
        <f aca="1">INDEX(Raw_GI_Council!$C$2:$C$100,ROUNDUP(ROW(A58)/5,0))</f>
        <v>April-25</v>
      </c>
      <c r="C59" s="56" t="str">
        <f aca="1">INDEX(Raw_GI_Council!$D$1:$H$1,1,MOD(ROW(A58)-1,5)+1)</f>
        <v>Motor_Total</v>
      </c>
      <c r="D59" s="90">
        <f aca="1">IF(INDEX(Raw_GI_Council!$D$2:$H$100,ROUNDUP(ROW(A58)/5,0),MOD(ROW(A58)-1,5)+1)="-",0,INDEX(Raw_GI_Council!$D$2:$H$100,ROUNDUP(ROW(A58)/5,0),MOD(ROW(A58)-1,5)+1))</f>
        <v>193.080000000000013</v>
      </c>
      <c r="E59" s="56" t="str">
        <f>"GI Council"</f>
        <v>GI Council</v>
      </c>
    </row>
    <row r="60" spans="1:5">
      <c r="A60" s="56" t="str">
        <f aca="1">INDEX(Raw_GI_Council!$B$2:$B$100,ROUNDUP(ROW(A59)/5,0))</f>
        <v>HDFC Ergo General Insurance Co Ltd</v>
      </c>
      <c r="B60" s="56" t="str">
        <f aca="1">INDEX(Raw_GI_Council!$C$2:$C$100,ROUNDUP(ROW(A59)/5,0))</f>
        <v>April-25</v>
      </c>
      <c r="C60" s="56" t="str">
        <f aca="1">INDEX(Raw_GI_Council!$D$1:$H$1,1,MOD(ROW(A59)-1,5)+1)</f>
        <v>Health</v>
      </c>
      <c r="D60" s="90">
        <f aca="1">IF(INDEX(Raw_GI_Council!$D$2:$H$100,ROUNDUP(ROW(A59)/5,0),MOD(ROW(A59)-1,5)+1)="-",0,INDEX(Raw_GI_Council!$D$2:$H$100,ROUNDUP(ROW(A59)/5,0),MOD(ROW(A59)-1,5)+1))</f>
        <v>612.100000000000023</v>
      </c>
      <c r="E60" s="56" t="str">
        <f>"GI Council"</f>
        <v>GI Council</v>
      </c>
    </row>
    <row r="61" spans="1:5">
      <c r="A61" s="56" t="str">
        <f aca="1">INDEX(Raw_GI_Council!$B$2:$B$100,ROUNDUP(ROW(A60)/5,0))</f>
        <v>HDFC Ergo General Insurance Co Ltd</v>
      </c>
      <c r="B61" s="56" t="str">
        <f aca="1">INDEX(Raw_GI_Council!$C$2:$C$100,ROUNDUP(ROW(A60)/5,0))</f>
        <v>April-25</v>
      </c>
      <c r="C61" s="56" t="str">
        <f aca="1">INDEX(Raw_GI_Council!$D$1:$H$1,1,MOD(ROW(A60)-1,5)+1)</f>
        <v>Grand_Total</v>
      </c>
      <c r="D61" s="90">
        <f aca="1">IF(INDEX(Raw_GI_Council!$D$2:$H$100,ROUNDUP(ROW(A60)/5,0),MOD(ROW(A60)-1,5)+1)="-",0,INDEX(Raw_GI_Council!$D$2:$H$100,ROUNDUP(ROW(A60)/5,0),MOD(ROW(A60)-1,5)+1))</f>
        <v>1619.92000000000007</v>
      </c>
      <c r="E61" s="56" t="str">
        <f>"GI Council"</f>
        <v>GI Council</v>
      </c>
    </row>
    <row r="62" spans="1:5">
      <c r="A62" s="56" t="str">
        <f aca="1">INDEX(Raw_GI_Council!$B$2:$B$100,ROUNDUP(ROW(A61)/5,0))</f>
        <v>ICICI Lombard General Insurance Co Ltd</v>
      </c>
      <c r="B62" s="56" t="str">
        <f aca="1">INDEX(Raw_GI_Council!$C$2:$C$100,ROUNDUP(ROW(A61)/5,0))</f>
        <v>April-26</v>
      </c>
      <c r="C62" s="56" t="str">
        <f aca="1">INDEX(Raw_GI_Council!$D$1:$H$1,1,MOD(ROW(A61)-1,5)+1)</f>
        <v>Fire</v>
      </c>
      <c r="D62" s="90">
        <f aca="1">IF(INDEX(Raw_GI_Council!$D$2:$H$100,ROUNDUP(ROW(A61)/5,0),MOD(ROW(A61)-1,5)+1)="-",0,INDEX(Raw_GI_Council!$D$2:$H$100,ROUNDUP(ROW(A61)/5,0),MOD(ROW(A61)-1,5)+1))</f>
        <v>561.710000000000036</v>
      </c>
      <c r="E62" s="56" t="str">
        <f>"GI Council"</f>
        <v>GI Council</v>
      </c>
    </row>
    <row r="63" spans="1:5">
      <c r="A63" s="56" t="str">
        <f aca="1">INDEX(Raw_GI_Council!$B$2:$B$100,ROUNDUP(ROW(A62)/5,0))</f>
        <v>ICICI Lombard General Insurance Co Ltd</v>
      </c>
      <c r="B63" s="56" t="str">
        <f aca="1">INDEX(Raw_GI_Council!$C$2:$C$100,ROUNDUP(ROW(A62)/5,0))</f>
        <v>April-26</v>
      </c>
      <c r="C63" s="56" t="str">
        <f aca="1">INDEX(Raw_GI_Council!$D$1:$H$1,1,MOD(ROW(A62)-1,5)+1)</f>
        <v>Marine_Total</v>
      </c>
      <c r="D63" s="90">
        <f aca="1">IF(INDEX(Raw_GI_Council!$D$2:$H$100,ROUNDUP(ROW(A62)/5,0),MOD(ROW(A62)-1,5)+1)="-",0,INDEX(Raw_GI_Council!$D$2:$H$100,ROUNDUP(ROW(A62)/5,0),MOD(ROW(A62)-1,5)+1))</f>
        <v>203.949999999999989</v>
      </c>
      <c r="E63" s="56" t="str">
        <f>"GI Council"</f>
        <v>GI Council</v>
      </c>
    </row>
    <row r="64" spans="1:5">
      <c r="A64" s="56" t="str">
        <f aca="1">INDEX(Raw_GI_Council!$B$2:$B$100,ROUNDUP(ROW(A63)/5,0))</f>
        <v>ICICI Lombard General Insurance Co Ltd</v>
      </c>
      <c r="B64" s="56" t="str">
        <f aca="1">INDEX(Raw_GI_Council!$C$2:$C$100,ROUNDUP(ROW(A63)/5,0))</f>
        <v>April-26</v>
      </c>
      <c r="C64" s="56" t="str">
        <f aca="1">INDEX(Raw_GI_Council!$D$1:$H$1,1,MOD(ROW(A63)-1,5)+1)</f>
        <v>Motor_Total</v>
      </c>
      <c r="D64" s="90">
        <f aca="1">IF(INDEX(Raw_GI_Council!$D$2:$H$100,ROUNDUP(ROW(A63)/5,0),MOD(ROW(A63)-1,5)+1)="-",0,INDEX(Raw_GI_Council!$D$2:$H$100,ROUNDUP(ROW(A63)/5,0),MOD(ROW(A63)-1,5)+1))</f>
        <v>954.110000000000014</v>
      </c>
      <c r="E64" s="56" t="str">
        <f>"GI Council"</f>
        <v>GI Council</v>
      </c>
    </row>
    <row r="65" spans="1:5">
      <c r="A65" s="56" t="str">
        <f aca="1">INDEX(Raw_GI_Council!$B$2:$B$100,ROUNDUP(ROW(A64)/5,0))</f>
        <v>ICICI Lombard General Insurance Co Ltd</v>
      </c>
      <c r="B65" s="56" t="str">
        <f aca="1">INDEX(Raw_GI_Council!$C$2:$C$100,ROUNDUP(ROW(A64)/5,0))</f>
        <v>April-26</v>
      </c>
      <c r="C65" s="56" t="str">
        <f aca="1">INDEX(Raw_GI_Council!$D$1:$H$1,1,MOD(ROW(A64)-1,5)+1)</f>
        <v>Health</v>
      </c>
      <c r="D65" s="90">
        <f aca="1">IF(INDEX(Raw_GI_Council!$D$2:$H$100,ROUNDUP(ROW(A64)/5,0),MOD(ROW(A64)-1,5)+1)="-",0,INDEX(Raw_GI_Council!$D$2:$H$100,ROUNDUP(ROW(A64)/5,0),MOD(ROW(A64)-1,5)+1))</f>
        <v>1463.07999999999993</v>
      </c>
      <c r="E65" s="56" t="str">
        <f>"GI Council"</f>
        <v>GI Council</v>
      </c>
    </row>
    <row r="66" spans="1:5">
      <c r="A66" s="56" t="str">
        <f aca="1">INDEX(Raw_GI_Council!$B$2:$B$100,ROUNDUP(ROW(A65)/5,0))</f>
        <v>ICICI Lombard General Insurance Co Ltd</v>
      </c>
      <c r="B66" s="56" t="str">
        <f aca="1">INDEX(Raw_GI_Council!$C$2:$C$100,ROUNDUP(ROW(A65)/5,0))</f>
        <v>April-26</v>
      </c>
      <c r="C66" s="56" t="str">
        <f aca="1">INDEX(Raw_GI_Council!$D$1:$H$1,1,MOD(ROW(A65)-1,5)+1)</f>
        <v>Grand_Total</v>
      </c>
      <c r="D66" s="90">
        <f aca="1">IF(INDEX(Raw_GI_Council!$D$2:$H$100,ROUNDUP(ROW(A65)/5,0),MOD(ROW(A65)-1,5)+1)="-",0,INDEX(Raw_GI_Council!$D$2:$H$100,ROUNDUP(ROW(A65)/5,0),MOD(ROW(A65)-1,5)+1))</f>
        <v>3654</v>
      </c>
      <c r="E66" s="56" t="str">
        <f>"GI Council"</f>
        <v>GI Council</v>
      </c>
    </row>
    <row r="67" spans="1:5">
      <c r="A67" s="56" t="str">
        <f aca="1">INDEX(Raw_GI_Council!$B$2:$B$100,ROUNDUP(ROW(A66)/5,0))</f>
        <v>ICICI Lombard General Insurance Co Ltd</v>
      </c>
      <c r="B67" s="56" t="str">
        <f aca="1">INDEX(Raw_GI_Council!$C$2:$C$100,ROUNDUP(ROW(A66)/5,0))</f>
        <v>April-25</v>
      </c>
      <c r="C67" s="56" t="str">
        <f aca="1">INDEX(Raw_GI_Council!$D$1:$H$1,1,MOD(ROW(A66)-1,5)+1)</f>
        <v>Fire</v>
      </c>
      <c r="D67" s="90">
        <f aca="1">IF(INDEX(Raw_GI_Council!$D$2:$H$100,ROUNDUP(ROW(A66)/5,0),MOD(ROW(A66)-1,5)+1)="-",0,INDEX(Raw_GI_Council!$D$2:$H$100,ROUNDUP(ROW(A66)/5,0),MOD(ROW(A66)-1,5)+1))</f>
        <v>928.010000000000105</v>
      </c>
      <c r="E67" s="56" t="str">
        <f>"GI Council"</f>
        <v>GI Council</v>
      </c>
    </row>
    <row r="68" spans="1:5">
      <c r="A68" s="56" t="str">
        <f aca="1">INDEX(Raw_GI_Council!$B$2:$B$100,ROUNDUP(ROW(A67)/5,0))</f>
        <v>ICICI Lombard General Insurance Co Ltd</v>
      </c>
      <c r="B68" s="56" t="str">
        <f aca="1">INDEX(Raw_GI_Council!$C$2:$C$100,ROUNDUP(ROW(A67)/5,0))</f>
        <v>April-25</v>
      </c>
      <c r="C68" s="56" t="str">
        <f aca="1">INDEX(Raw_GI_Council!$D$1:$H$1,1,MOD(ROW(A67)-1,5)+1)</f>
        <v>Marine_Total</v>
      </c>
      <c r="D68" s="90">
        <f aca="1">IF(INDEX(Raw_GI_Council!$D$2:$H$100,ROUNDUP(ROW(A67)/5,0),MOD(ROW(A67)-1,5)+1)="-",0,INDEX(Raw_GI_Council!$D$2:$H$100,ROUNDUP(ROW(A67)/5,0),MOD(ROW(A67)-1,5)+1))</f>
        <v>176.409999999999997</v>
      </c>
      <c r="E68" s="56" t="str">
        <f>"GI Council"</f>
        <v>GI Council</v>
      </c>
    </row>
    <row r="69" spans="1:5">
      <c r="A69" s="56" t="str">
        <f aca="1">INDEX(Raw_GI_Council!$B$2:$B$100,ROUNDUP(ROW(A68)/5,0))</f>
        <v>ICICI Lombard General Insurance Co Ltd</v>
      </c>
      <c r="B69" s="56" t="str">
        <f aca="1">INDEX(Raw_GI_Council!$C$2:$C$100,ROUNDUP(ROW(A68)/5,0))</f>
        <v>April-25</v>
      </c>
      <c r="C69" s="56" t="str">
        <f aca="1">INDEX(Raw_GI_Council!$D$1:$H$1,1,MOD(ROW(A68)-1,5)+1)</f>
        <v>Motor_Total</v>
      </c>
      <c r="D69" s="90">
        <f aca="1">IF(INDEX(Raw_GI_Council!$D$2:$H$100,ROUNDUP(ROW(A68)/5,0),MOD(ROW(A68)-1,5)+1)="-",0,INDEX(Raw_GI_Council!$D$2:$H$100,ROUNDUP(ROW(A68)/5,0),MOD(ROW(A68)-1,5)+1))</f>
        <v>845.990000000000009</v>
      </c>
      <c r="E69" s="56" t="str">
        <f>"GI Council"</f>
        <v>GI Council</v>
      </c>
    </row>
    <row r="70" spans="1:5">
      <c r="A70" s="56" t="str">
        <f aca="1">INDEX(Raw_GI_Council!$B$2:$B$100,ROUNDUP(ROW(A69)/5,0))</f>
        <v>ICICI Lombard General Insurance Co Ltd</v>
      </c>
      <c r="B70" s="56" t="str">
        <f aca="1">INDEX(Raw_GI_Council!$C$2:$C$100,ROUNDUP(ROW(A69)/5,0))</f>
        <v>April-25</v>
      </c>
      <c r="C70" s="56" t="str">
        <f aca="1">INDEX(Raw_GI_Council!$D$1:$H$1,1,MOD(ROW(A69)-1,5)+1)</f>
        <v>Health</v>
      </c>
      <c r="D70" s="90">
        <f aca="1">IF(INDEX(Raw_GI_Council!$D$2:$H$100,ROUNDUP(ROW(A69)/5,0),MOD(ROW(A69)-1,5)+1)="-",0,INDEX(Raw_GI_Council!$D$2:$H$100,ROUNDUP(ROW(A69)/5,0),MOD(ROW(A69)-1,5)+1))</f>
        <v>1179.07999999999993</v>
      </c>
      <c r="E70" s="56" t="str">
        <f>"GI Council"</f>
        <v>GI Council</v>
      </c>
    </row>
    <row r="71" spans="1:5">
      <c r="A71" s="56" t="str">
        <f aca="1">INDEX(Raw_GI_Council!$B$2:$B$100,ROUNDUP(ROW(A70)/5,0))</f>
        <v>ICICI Lombard General Insurance Co Ltd</v>
      </c>
      <c r="B71" s="56" t="str">
        <f aca="1">INDEX(Raw_GI_Council!$C$2:$C$100,ROUNDUP(ROW(A70)/5,0))</f>
        <v>April-25</v>
      </c>
      <c r="C71" s="56" t="str">
        <f aca="1">INDEX(Raw_GI_Council!$D$1:$H$1,1,MOD(ROW(A70)-1,5)+1)</f>
        <v>Grand_Total</v>
      </c>
      <c r="D71" s="90">
        <f aca="1">IF(INDEX(Raw_GI_Council!$D$2:$H$100,ROUNDUP(ROW(A70)/5,0),MOD(ROW(A70)-1,5)+1)="-",0,INDEX(Raw_GI_Council!$D$2:$H$100,ROUNDUP(ROW(A70)/5,0),MOD(ROW(A70)-1,5)+1))</f>
        <v>3592.2199999999998</v>
      </c>
      <c r="E71" s="56" t="str">
        <f>"GI Council"</f>
        <v>GI Council</v>
      </c>
    </row>
    <row r="72" spans="1:5">
      <c r="A72" s="56" t="str">
        <f aca="1">INDEX(Raw_GI_Council!$B$2:$B$100,ROUNDUP(ROW(A71)/5,0))</f>
        <v>IFFCO-Tokio General Insurance Co Ltd</v>
      </c>
      <c r="B72" s="56" t="str">
        <f aca="1">INDEX(Raw_GI_Council!$C$2:$C$100,ROUNDUP(ROW(A71)/5,0))</f>
        <v>April-26</v>
      </c>
      <c r="C72" s="56" t="str">
        <f aca="1">INDEX(Raw_GI_Council!$D$1:$H$1,1,MOD(ROW(A71)-1,5)+1)</f>
        <v>Fire</v>
      </c>
      <c r="D72" s="90">
        <f aca="1">IF(INDEX(Raw_GI_Council!$D$2:$H$100,ROUNDUP(ROW(A71)/5,0),MOD(ROW(A71)-1,5)+1)="-",0,INDEX(Raw_GI_Council!$D$2:$H$100,ROUNDUP(ROW(A71)/5,0),MOD(ROW(A71)-1,5)+1))</f>
        <v>174.439999999999998</v>
      </c>
      <c r="E72" s="56" t="str">
        <f>"GI Council"</f>
        <v>GI Council</v>
      </c>
    </row>
    <row r="73" spans="1:5">
      <c r="A73" s="56" t="str">
        <f aca="1">INDEX(Raw_GI_Council!$B$2:$B$100,ROUNDUP(ROW(A72)/5,0))</f>
        <v>IFFCO-Tokio General Insurance Co Ltd</v>
      </c>
      <c r="B73" s="56" t="str">
        <f aca="1">INDEX(Raw_GI_Council!$C$2:$C$100,ROUNDUP(ROW(A72)/5,0))</f>
        <v>April-26</v>
      </c>
      <c r="C73" s="56" t="str">
        <f aca="1">INDEX(Raw_GI_Council!$D$1:$H$1,1,MOD(ROW(A72)-1,5)+1)</f>
        <v>Marine_Total</v>
      </c>
      <c r="D73" s="90">
        <f aca="1">IF(INDEX(Raw_GI_Council!$D$2:$H$100,ROUNDUP(ROW(A72)/5,0),MOD(ROW(A72)-1,5)+1)="-",0,INDEX(Raw_GI_Council!$D$2:$H$100,ROUNDUP(ROW(A72)/5,0),MOD(ROW(A72)-1,5)+1))</f>
        <v>53.0399999999999991</v>
      </c>
      <c r="E73" s="56" t="str">
        <f>"GI Council"</f>
        <v>GI Council</v>
      </c>
    </row>
    <row r="74" spans="1:5">
      <c r="A74" s="56" t="str">
        <f aca="1">INDEX(Raw_GI_Council!$B$2:$B$100,ROUNDUP(ROW(A73)/5,0))</f>
        <v>IFFCO-Tokio General Insurance Co Ltd</v>
      </c>
      <c r="B74" s="56" t="str">
        <f aca="1">INDEX(Raw_GI_Council!$C$2:$C$100,ROUNDUP(ROW(A73)/5,0))</f>
        <v>April-26</v>
      </c>
      <c r="C74" s="56" t="str">
        <f aca="1">INDEX(Raw_GI_Council!$D$1:$H$1,1,MOD(ROW(A73)-1,5)+1)</f>
        <v>Motor_Total</v>
      </c>
      <c r="D74" s="90">
        <f aca="1">IF(INDEX(Raw_GI_Council!$D$2:$H$100,ROUNDUP(ROW(A73)/5,0),MOD(ROW(A73)-1,5)+1)="-",0,INDEX(Raw_GI_Council!$D$2:$H$100,ROUNDUP(ROW(A73)/5,0),MOD(ROW(A73)-1,5)+1))</f>
        <v>422.769999999999982</v>
      </c>
      <c r="E74" s="56" t="str">
        <f>"GI Council"</f>
        <v>GI Council</v>
      </c>
    </row>
    <row r="75" spans="1:5">
      <c r="A75" s="56" t="str">
        <f aca="1">INDEX(Raw_GI_Council!$B$2:$B$100,ROUNDUP(ROW(A74)/5,0))</f>
        <v>IFFCO-Tokio General Insurance Co Ltd</v>
      </c>
      <c r="B75" s="56" t="str">
        <f aca="1">INDEX(Raw_GI_Council!$C$2:$C$100,ROUNDUP(ROW(A74)/5,0))</f>
        <v>April-26</v>
      </c>
      <c r="C75" s="56" t="str">
        <f aca="1">INDEX(Raw_GI_Council!$D$1:$H$1,1,MOD(ROW(A74)-1,5)+1)</f>
        <v>Health</v>
      </c>
      <c r="D75" s="90">
        <f aca="1">IF(INDEX(Raw_GI_Council!$D$2:$H$100,ROUNDUP(ROW(A74)/5,0),MOD(ROW(A74)-1,5)+1)="-",0,INDEX(Raw_GI_Council!$D$2:$H$100,ROUNDUP(ROW(A74)/5,0),MOD(ROW(A74)-1,5)+1))</f>
        <v>98.4300000000000068</v>
      </c>
      <c r="E75" s="56" t="str">
        <f>"GI Council"</f>
        <v>GI Council</v>
      </c>
    </row>
    <row r="76" spans="1:5">
      <c r="A76" s="56" t="str">
        <f aca="1">INDEX(Raw_GI_Council!$B$2:$B$100,ROUNDUP(ROW(A75)/5,0))</f>
        <v>IFFCO-Tokio General Insurance Co Ltd</v>
      </c>
      <c r="B76" s="56" t="str">
        <f aca="1">INDEX(Raw_GI_Council!$C$2:$C$100,ROUNDUP(ROW(A75)/5,0))</f>
        <v>April-26</v>
      </c>
      <c r="C76" s="56" t="str">
        <f aca="1">INDEX(Raw_GI_Council!$D$1:$H$1,1,MOD(ROW(A75)-1,5)+1)</f>
        <v>Grand_Total</v>
      </c>
      <c r="D76" s="90">
        <f aca="1">IF(INDEX(Raw_GI_Council!$D$2:$H$100,ROUNDUP(ROW(A75)/5,0),MOD(ROW(A75)-1,5)+1)="-",0,INDEX(Raw_GI_Council!$D$2:$H$100,ROUNDUP(ROW(A75)/5,0),MOD(ROW(A75)-1,5)+1))</f>
        <v>876.75</v>
      </c>
      <c r="E76" s="56" t="str">
        <f>"GI Council"</f>
        <v>GI Council</v>
      </c>
    </row>
    <row r="77" spans="1:5">
      <c r="A77" s="56" t="str">
        <f aca="1">INDEX(Raw_GI_Council!$B$2:$B$100,ROUNDUP(ROW(A76)/5,0))</f>
        <v>IFFCO-Tokio General Insurance Co Ltd</v>
      </c>
      <c r="B77" s="56" t="str">
        <f aca="1">INDEX(Raw_GI_Council!$C$2:$C$100,ROUNDUP(ROW(A76)/5,0))</f>
        <v>April-25</v>
      </c>
      <c r="C77" s="56" t="str">
        <f aca="1">INDEX(Raw_GI_Council!$D$1:$H$1,1,MOD(ROW(A76)-1,5)+1)</f>
        <v>Fire</v>
      </c>
      <c r="D77" s="90">
        <f aca="1">IF(INDEX(Raw_GI_Council!$D$2:$H$100,ROUNDUP(ROW(A76)/5,0),MOD(ROW(A76)-1,5)+1)="-",0,INDEX(Raw_GI_Council!$D$2:$H$100,ROUNDUP(ROW(A76)/5,0),MOD(ROW(A76)-1,5)+1))</f>
        <v>227.870000000000005</v>
      </c>
      <c r="E77" s="56" t="str">
        <f>"GI Council"</f>
        <v>GI Council</v>
      </c>
    </row>
    <row r="78" spans="1:5">
      <c r="A78" s="56" t="str">
        <f aca="1">INDEX(Raw_GI_Council!$B$2:$B$100,ROUNDUP(ROW(A77)/5,0))</f>
        <v>IFFCO-Tokio General Insurance Co Ltd</v>
      </c>
      <c r="B78" s="56" t="str">
        <f aca="1">INDEX(Raw_GI_Council!$C$2:$C$100,ROUNDUP(ROW(A77)/5,0))</f>
        <v>April-25</v>
      </c>
      <c r="C78" s="56" t="str">
        <f aca="1">INDEX(Raw_GI_Council!$D$1:$H$1,1,MOD(ROW(A77)-1,5)+1)</f>
        <v>Marine_Total</v>
      </c>
      <c r="D78" s="90">
        <f aca="1">IF(INDEX(Raw_GI_Council!$D$2:$H$100,ROUNDUP(ROW(A77)/5,0),MOD(ROW(A77)-1,5)+1)="-",0,INDEX(Raw_GI_Council!$D$2:$H$100,ROUNDUP(ROW(A77)/5,0),MOD(ROW(A77)-1,5)+1))</f>
        <v>42.2800000000000011</v>
      </c>
      <c r="E78" s="56" t="str">
        <f>"GI Council"</f>
        <v>GI Council</v>
      </c>
    </row>
    <row r="79" spans="1:5">
      <c r="A79" s="56" t="str">
        <f aca="1">INDEX(Raw_GI_Council!$B$2:$B$100,ROUNDUP(ROW(A78)/5,0))</f>
        <v>IFFCO-Tokio General Insurance Co Ltd</v>
      </c>
      <c r="B79" s="56" t="str">
        <f aca="1">INDEX(Raw_GI_Council!$C$2:$C$100,ROUNDUP(ROW(A78)/5,0))</f>
        <v>April-25</v>
      </c>
      <c r="C79" s="56" t="str">
        <f aca="1">INDEX(Raw_GI_Council!$D$1:$H$1,1,MOD(ROW(A78)-1,5)+1)</f>
        <v>Motor_Total</v>
      </c>
      <c r="D79" s="90">
        <f aca="1">IF(INDEX(Raw_GI_Council!$D$2:$H$100,ROUNDUP(ROW(A78)/5,0),MOD(ROW(A78)-1,5)+1)="-",0,INDEX(Raw_GI_Council!$D$2:$H$100,ROUNDUP(ROW(A78)/5,0),MOD(ROW(A78)-1,5)+1))</f>
        <v>321.810000000000002</v>
      </c>
      <c r="E79" s="56" t="str">
        <f>"GI Council"</f>
        <v>GI Council</v>
      </c>
    </row>
    <row r="80" spans="1:5">
      <c r="A80" s="56" t="str">
        <f aca="1">INDEX(Raw_GI_Council!$B$2:$B$100,ROUNDUP(ROW(A79)/5,0))</f>
        <v>IFFCO-Tokio General Insurance Co Ltd</v>
      </c>
      <c r="B80" s="56" t="str">
        <f aca="1">INDEX(Raw_GI_Council!$C$2:$C$100,ROUNDUP(ROW(A79)/5,0))</f>
        <v>April-25</v>
      </c>
      <c r="C80" s="56" t="str">
        <f aca="1">INDEX(Raw_GI_Council!$D$1:$H$1,1,MOD(ROW(A79)-1,5)+1)</f>
        <v>Health</v>
      </c>
      <c r="D80" s="90">
        <f aca="1">IF(INDEX(Raw_GI_Council!$D$2:$H$100,ROUNDUP(ROW(A79)/5,0),MOD(ROW(A79)-1,5)+1)="-",0,INDEX(Raw_GI_Council!$D$2:$H$100,ROUNDUP(ROW(A79)/5,0),MOD(ROW(A79)-1,5)+1))</f>
        <v>65.019999999999996</v>
      </c>
      <c r="E80" s="56" t="str">
        <f>"GI Council"</f>
        <v>GI Council</v>
      </c>
    </row>
    <row r="81" spans="1:5">
      <c r="A81" s="56" t="str">
        <f aca="1">INDEX(Raw_GI_Council!$B$2:$B$100,ROUNDUP(ROW(A80)/5,0))</f>
        <v>IFFCO-Tokio General Insurance Co Ltd</v>
      </c>
      <c r="B81" s="56" t="str">
        <f aca="1">INDEX(Raw_GI_Council!$C$2:$C$100,ROUNDUP(ROW(A80)/5,0))</f>
        <v>April-25</v>
      </c>
      <c r="C81" s="56" t="str">
        <f aca="1">INDEX(Raw_GI_Council!$D$1:$H$1,1,MOD(ROW(A80)-1,5)+1)</f>
        <v>Grand_Total</v>
      </c>
      <c r="D81" s="90">
        <f aca="1">IF(INDEX(Raw_GI_Council!$D$2:$H$100,ROUNDUP(ROW(A80)/5,0),MOD(ROW(A80)-1,5)+1)="-",0,INDEX(Raw_GI_Council!$D$2:$H$100,ROUNDUP(ROW(A80)/5,0),MOD(ROW(A80)-1,5)+1))</f>
        <v>783.529999999999859</v>
      </c>
      <c r="E81" s="56" t="str">
        <f>"GI Council"</f>
        <v>GI Council</v>
      </c>
    </row>
    <row r="82" spans="1:5">
      <c r="A82" s="56" t="str">
        <f aca="1">INDEX(Raw_GI_Council!$B$2:$B$100,ROUNDUP(ROW(A81)/5,0))</f>
        <v>IndusInd General Insurance Company Limited</v>
      </c>
      <c r="B82" s="56" t="str">
        <f aca="1">INDEX(Raw_GI_Council!$C$2:$C$100,ROUNDUP(ROW(A81)/5,0))</f>
        <v>April-26</v>
      </c>
      <c r="C82" s="56" t="str">
        <f aca="1">INDEX(Raw_GI_Council!$D$1:$H$1,1,MOD(ROW(A81)-1,5)+1)</f>
        <v>Fire</v>
      </c>
      <c r="D82" s="90">
        <f aca="1">IF(INDEX(Raw_GI_Council!$D$2:$H$100,ROUNDUP(ROW(A81)/5,0),MOD(ROW(A81)-1,5)+1)="-",0,INDEX(Raw_GI_Council!$D$2:$H$100,ROUNDUP(ROW(A81)/5,0),MOD(ROW(A81)-1,5)+1))</f>
        <v>332.04000000000002</v>
      </c>
      <c r="E82" s="56" t="str">
        <f>"GI Council"</f>
        <v>GI Council</v>
      </c>
    </row>
    <row r="83" spans="1:5">
      <c r="A83" s="56" t="str">
        <f aca="1">INDEX(Raw_GI_Council!$B$2:$B$100,ROUNDUP(ROW(A82)/5,0))</f>
        <v>IndusInd General Insurance Company Limited</v>
      </c>
      <c r="B83" s="56" t="str">
        <f aca="1">INDEX(Raw_GI_Council!$C$2:$C$100,ROUNDUP(ROW(A82)/5,0))</f>
        <v>April-26</v>
      </c>
      <c r="C83" s="56" t="str">
        <f aca="1">INDEX(Raw_GI_Council!$D$1:$H$1,1,MOD(ROW(A82)-1,5)+1)</f>
        <v>Marine_Total</v>
      </c>
      <c r="D83" s="90">
        <f aca="1">IF(INDEX(Raw_GI_Council!$D$2:$H$100,ROUNDUP(ROW(A82)/5,0),MOD(ROW(A82)-1,5)+1)="-",0,INDEX(Raw_GI_Council!$D$2:$H$100,ROUNDUP(ROW(A82)/5,0),MOD(ROW(A82)-1,5)+1))</f>
        <v>46.0399999999999991</v>
      </c>
      <c r="E83" s="56" t="str">
        <f>"GI Council"</f>
        <v>GI Council</v>
      </c>
    </row>
    <row r="84" spans="1:5">
      <c r="A84" s="56" t="str">
        <f aca="1">INDEX(Raw_GI_Council!$B$2:$B$100,ROUNDUP(ROW(A83)/5,0))</f>
        <v>IndusInd General Insurance Company Limited</v>
      </c>
      <c r="B84" s="56" t="str">
        <f aca="1">INDEX(Raw_GI_Council!$C$2:$C$100,ROUNDUP(ROW(A83)/5,0))</f>
        <v>April-26</v>
      </c>
      <c r="C84" s="56" t="str">
        <f aca="1">INDEX(Raw_GI_Council!$D$1:$H$1,1,MOD(ROW(A83)-1,5)+1)</f>
        <v>Motor_Total</v>
      </c>
      <c r="D84" s="90">
        <f aca="1">IF(INDEX(Raw_GI_Council!$D$2:$H$100,ROUNDUP(ROW(A83)/5,0),MOD(ROW(A83)-1,5)+1)="-",0,INDEX(Raw_GI_Council!$D$2:$H$100,ROUNDUP(ROW(A83)/5,0),MOD(ROW(A83)-1,5)+1))</f>
        <v>316.120000000000005</v>
      </c>
      <c r="E84" s="56" t="str">
        <f>"GI Council"</f>
        <v>GI Council</v>
      </c>
    </row>
    <row r="85" spans="1:5">
      <c r="A85" s="56" t="str">
        <f aca="1">INDEX(Raw_GI_Council!$B$2:$B$100,ROUNDUP(ROW(A84)/5,0))</f>
        <v>IndusInd General Insurance Company Limited</v>
      </c>
      <c r="B85" s="56" t="str">
        <f aca="1">INDEX(Raw_GI_Council!$C$2:$C$100,ROUNDUP(ROW(A84)/5,0))</f>
        <v>April-26</v>
      </c>
      <c r="C85" s="56" t="str">
        <f aca="1">INDEX(Raw_GI_Council!$D$1:$H$1,1,MOD(ROW(A84)-1,5)+1)</f>
        <v>Health</v>
      </c>
      <c r="D85" s="90">
        <f aca="1">IF(INDEX(Raw_GI_Council!$D$2:$H$100,ROUNDUP(ROW(A84)/5,0),MOD(ROW(A84)-1,5)+1)="-",0,INDEX(Raw_GI_Council!$D$2:$H$100,ROUNDUP(ROW(A84)/5,0),MOD(ROW(A84)-1,5)+1))</f>
        <v>723.779999999999859</v>
      </c>
      <c r="E85" s="56" t="str">
        <f>"GI Council"</f>
        <v>GI Council</v>
      </c>
    </row>
    <row r="86" spans="1:5">
      <c r="A86" s="56" t="str">
        <f aca="1">INDEX(Raw_GI_Council!$B$2:$B$100,ROUNDUP(ROW(A85)/5,0))</f>
        <v>IndusInd General Insurance Company Limited</v>
      </c>
      <c r="B86" s="56" t="str">
        <f aca="1">INDEX(Raw_GI_Council!$C$2:$C$100,ROUNDUP(ROW(A85)/5,0))</f>
        <v>April-26</v>
      </c>
      <c r="C86" s="56" t="str">
        <f aca="1">INDEX(Raw_GI_Council!$D$1:$H$1,1,MOD(ROW(A85)-1,5)+1)</f>
        <v>Grand_Total</v>
      </c>
      <c r="D86" s="90">
        <f aca="1">IF(INDEX(Raw_GI_Council!$D$2:$H$100,ROUNDUP(ROW(A85)/5,0),MOD(ROW(A85)-1,5)+1)="-",0,INDEX(Raw_GI_Council!$D$2:$H$100,ROUNDUP(ROW(A85)/5,0),MOD(ROW(A85)-1,5)+1))</f>
        <v>1563.91000000000008</v>
      </c>
      <c r="E86" s="56" t="str">
        <f>"GI Council"</f>
        <v>GI Council</v>
      </c>
    </row>
    <row r="87" spans="1:5">
      <c r="A87" s="56" t="str">
        <f aca="1">INDEX(Raw_GI_Council!$B$2:$B$100,ROUNDUP(ROW(A86)/5,0))</f>
        <v>IndusInd General Insurance Company Limited</v>
      </c>
      <c r="B87" s="56" t="str">
        <f aca="1">INDEX(Raw_GI_Council!$C$2:$C$100,ROUNDUP(ROW(A86)/5,0))</f>
        <v>April-25</v>
      </c>
      <c r="C87" s="56" t="str">
        <f aca="1">INDEX(Raw_GI_Council!$D$1:$H$1,1,MOD(ROW(A86)-1,5)+1)</f>
        <v>Fire</v>
      </c>
      <c r="D87" s="90">
        <f aca="1">IF(INDEX(Raw_GI_Council!$D$2:$H$100,ROUNDUP(ROW(A86)/5,0),MOD(ROW(A86)-1,5)+1)="-",0,INDEX(Raw_GI_Council!$D$2:$H$100,ROUNDUP(ROW(A86)/5,0),MOD(ROW(A86)-1,5)+1))</f>
        <v>537.830000000000041</v>
      </c>
      <c r="E87" s="56" t="str">
        <f>"GI Council"</f>
        <v>GI Council</v>
      </c>
    </row>
    <row r="88" spans="1:5">
      <c r="A88" s="56" t="str">
        <f aca="1">INDEX(Raw_GI_Council!$B$2:$B$100,ROUNDUP(ROW(A87)/5,0))</f>
        <v>IndusInd General Insurance Company Limited</v>
      </c>
      <c r="B88" s="56" t="str">
        <f aca="1">INDEX(Raw_GI_Council!$C$2:$C$100,ROUNDUP(ROW(A87)/5,0))</f>
        <v>April-25</v>
      </c>
      <c r="C88" s="56" t="str">
        <f aca="1">INDEX(Raw_GI_Council!$D$1:$H$1,1,MOD(ROW(A87)-1,5)+1)</f>
        <v>Marine_Total</v>
      </c>
      <c r="D88" s="90">
        <f aca="1">IF(INDEX(Raw_GI_Council!$D$2:$H$100,ROUNDUP(ROW(A87)/5,0),MOD(ROW(A87)-1,5)+1)="-",0,INDEX(Raw_GI_Council!$D$2:$H$100,ROUNDUP(ROW(A87)/5,0),MOD(ROW(A87)-1,5)+1))</f>
        <v>35.1099999999999994</v>
      </c>
      <c r="E88" s="56" t="str">
        <f>"GI Council"</f>
        <v>GI Council</v>
      </c>
    </row>
    <row r="89" spans="1:5">
      <c r="A89" s="56" t="str">
        <f aca="1">INDEX(Raw_GI_Council!$B$2:$B$100,ROUNDUP(ROW(A88)/5,0))</f>
        <v>IndusInd General Insurance Company Limited</v>
      </c>
      <c r="B89" s="56" t="str">
        <f aca="1">INDEX(Raw_GI_Council!$C$2:$C$100,ROUNDUP(ROW(A88)/5,0))</f>
        <v>April-25</v>
      </c>
      <c r="C89" s="56" t="str">
        <f aca="1">INDEX(Raw_GI_Council!$D$1:$H$1,1,MOD(ROW(A88)-1,5)+1)</f>
        <v>Motor_Total</v>
      </c>
      <c r="D89" s="90">
        <f aca="1">IF(INDEX(Raw_GI_Council!$D$2:$H$100,ROUNDUP(ROW(A88)/5,0),MOD(ROW(A88)-1,5)+1)="-",0,INDEX(Raw_GI_Council!$D$2:$H$100,ROUNDUP(ROW(A88)/5,0),MOD(ROW(A88)-1,5)+1))</f>
        <v>313.399999999999977</v>
      </c>
      <c r="E89" s="56" t="str">
        <f>"GI Council"</f>
        <v>GI Council</v>
      </c>
    </row>
    <row r="90" spans="1:5">
      <c r="A90" s="56" t="str">
        <f aca="1">INDEX(Raw_GI_Council!$B$2:$B$100,ROUNDUP(ROW(A89)/5,0))</f>
        <v>IndusInd General Insurance Company Limited</v>
      </c>
      <c r="B90" s="56" t="str">
        <f aca="1">INDEX(Raw_GI_Council!$C$2:$C$100,ROUNDUP(ROW(A89)/5,0))</f>
        <v>April-25</v>
      </c>
      <c r="C90" s="56" t="str">
        <f aca="1">INDEX(Raw_GI_Council!$D$1:$H$1,1,MOD(ROW(A89)-1,5)+1)</f>
        <v>Health</v>
      </c>
      <c r="D90" s="90">
        <f aca="1">IF(INDEX(Raw_GI_Council!$D$2:$H$100,ROUNDUP(ROW(A89)/5,0),MOD(ROW(A89)-1,5)+1)="-",0,INDEX(Raw_GI_Council!$D$2:$H$100,ROUNDUP(ROW(A89)/5,0),MOD(ROW(A89)-1,5)+1))</f>
        <v>391.600000000000023</v>
      </c>
      <c r="E90" s="56" t="str">
        <f>"GI Council"</f>
        <v>GI Council</v>
      </c>
    </row>
    <row r="91" spans="1:5">
      <c r="A91" s="56" t="str">
        <f aca="1">INDEX(Raw_GI_Council!$B$2:$B$100,ROUNDUP(ROW(A90)/5,0))</f>
        <v>IndusInd General Insurance Company Limited</v>
      </c>
      <c r="B91" s="56" t="str">
        <f aca="1">INDEX(Raw_GI_Council!$C$2:$C$100,ROUNDUP(ROW(A90)/5,0))</f>
        <v>April-25</v>
      </c>
      <c r="C91" s="56" t="str">
        <f aca="1">INDEX(Raw_GI_Council!$D$1:$H$1,1,MOD(ROW(A90)-1,5)+1)</f>
        <v>Grand_Total</v>
      </c>
      <c r="D91" s="90">
        <f aca="1">IF(INDEX(Raw_GI_Council!$D$2:$H$100,ROUNDUP(ROW(A90)/5,0),MOD(ROW(A90)-1,5)+1)="-",0,INDEX(Raw_GI_Council!$D$2:$H$100,ROUNDUP(ROW(A90)/5,0),MOD(ROW(A90)-1,5)+1))</f>
        <v>1479.25999999999999</v>
      </c>
      <c r="E91" s="56" t="str">
        <f>"GI Council"</f>
        <v>GI Council</v>
      </c>
    </row>
    <row r="92" spans="1:5">
      <c r="A92" s="56" t="str">
        <f aca="1">INDEX(Raw_GI_Council!$B$2:$B$100,ROUNDUP(ROW(A91)/5,0))</f>
        <v>Kshema General insurance</v>
      </c>
      <c r="B92" s="56" t="str">
        <f aca="1">INDEX(Raw_GI_Council!$C$2:$C$100,ROUNDUP(ROW(A91)/5,0))</f>
        <v>April-26</v>
      </c>
      <c r="C92" s="56" t="str">
        <f aca="1">INDEX(Raw_GI_Council!$D$1:$H$1,1,MOD(ROW(A91)-1,5)+1)</f>
        <v>Fire</v>
      </c>
      <c r="D92" s="90">
        <f aca="1">IF(INDEX(Raw_GI_Council!$D$2:$H$100,ROUNDUP(ROW(A91)/5,0),MOD(ROW(A91)-1,5)+1)="-",0,INDEX(Raw_GI_Council!$D$2:$H$100,ROUNDUP(ROW(A91)/5,0),MOD(ROW(A91)-1,5)+1))</f>
        <v>0</v>
      </c>
      <c r="E92" s="56" t="str">
        <f>"GI Council"</f>
        <v>GI Council</v>
      </c>
    </row>
    <row r="93" spans="1:5">
      <c r="A93" s="56" t="str">
        <f aca="1">INDEX(Raw_GI_Council!$B$2:$B$100,ROUNDUP(ROW(A92)/5,0))</f>
        <v>Kshema General insurance</v>
      </c>
      <c r="B93" s="56" t="str">
        <f aca="1">INDEX(Raw_GI_Council!$C$2:$C$100,ROUNDUP(ROW(A92)/5,0))</f>
        <v>April-26</v>
      </c>
      <c r="C93" s="56" t="str">
        <f aca="1">INDEX(Raw_GI_Council!$D$1:$H$1,1,MOD(ROW(A92)-1,5)+1)</f>
        <v>Marine_Total</v>
      </c>
      <c r="D93" s="90">
        <f aca="1">IF(INDEX(Raw_GI_Council!$D$2:$H$100,ROUNDUP(ROW(A92)/5,0),MOD(ROW(A92)-1,5)+1)="-",0,INDEX(Raw_GI_Council!$D$2:$H$100,ROUNDUP(ROW(A92)/5,0),MOD(ROW(A92)-1,5)+1))</f>
        <v>0</v>
      </c>
      <c r="E93" s="56" t="str">
        <f>"GI Council"</f>
        <v>GI Council</v>
      </c>
    </row>
    <row r="94" spans="1:5">
      <c r="A94" s="56" t="str">
        <f aca="1">INDEX(Raw_GI_Council!$B$2:$B$100,ROUNDUP(ROW(A93)/5,0))</f>
        <v>Kshema General insurance</v>
      </c>
      <c r="B94" s="56" t="str">
        <f aca="1">INDEX(Raw_GI_Council!$C$2:$C$100,ROUNDUP(ROW(A93)/5,0))</f>
        <v>April-26</v>
      </c>
      <c r="C94" s="56" t="str">
        <f aca="1">INDEX(Raw_GI_Council!$D$1:$H$1,1,MOD(ROW(A93)-1,5)+1)</f>
        <v>Motor_Total</v>
      </c>
      <c r="D94" s="90">
        <f aca="1">IF(INDEX(Raw_GI_Council!$D$2:$H$100,ROUNDUP(ROW(A93)/5,0),MOD(ROW(A93)-1,5)+1)="-",0,INDEX(Raw_GI_Council!$D$2:$H$100,ROUNDUP(ROW(A93)/5,0),MOD(ROW(A93)-1,5)+1))</f>
        <v>2.99000000000000021</v>
      </c>
      <c r="E94" s="56" t="str">
        <f>"GI Council"</f>
        <v>GI Council</v>
      </c>
    </row>
    <row r="95" spans="1:5">
      <c r="A95" s="56" t="str">
        <f aca="1">INDEX(Raw_GI_Council!$B$2:$B$100,ROUNDUP(ROW(A94)/5,0))</f>
        <v>Kshema General insurance</v>
      </c>
      <c r="B95" s="56" t="str">
        <f aca="1">INDEX(Raw_GI_Council!$C$2:$C$100,ROUNDUP(ROW(A94)/5,0))</f>
        <v>April-26</v>
      </c>
      <c r="C95" s="56" t="str">
        <f aca="1">INDEX(Raw_GI_Council!$D$1:$H$1,1,MOD(ROW(A94)-1,5)+1)</f>
        <v>Health</v>
      </c>
      <c r="D95" s="90">
        <f aca="1">IF(INDEX(Raw_GI_Council!$D$2:$H$100,ROUNDUP(ROW(A94)/5,0),MOD(ROW(A94)-1,5)+1)="-",0,INDEX(Raw_GI_Council!$D$2:$H$100,ROUNDUP(ROW(A94)/5,0),MOD(ROW(A94)-1,5)+1))</f>
        <v>0.01</v>
      </c>
      <c r="E95" s="56" t="str">
        <f>"GI Council"</f>
        <v>GI Council</v>
      </c>
    </row>
    <row r="96" spans="1:5">
      <c r="A96" s="56" t="str">
        <f aca="1">INDEX(Raw_GI_Council!$B$2:$B$100,ROUNDUP(ROW(A95)/5,0))</f>
        <v>Kshema General insurance</v>
      </c>
      <c r="B96" s="56" t="str">
        <f aca="1">INDEX(Raw_GI_Council!$C$2:$C$100,ROUNDUP(ROW(A95)/5,0))</f>
        <v>April-26</v>
      </c>
      <c r="C96" s="56" t="str">
        <f aca="1">INDEX(Raw_GI_Council!$D$1:$H$1,1,MOD(ROW(A95)-1,5)+1)</f>
        <v>Grand_Total</v>
      </c>
      <c r="D96" s="90">
        <f aca="1">IF(INDEX(Raw_GI_Council!$D$2:$H$100,ROUNDUP(ROW(A95)/5,0),MOD(ROW(A95)-1,5)+1)="-",0,INDEX(Raw_GI_Council!$D$2:$H$100,ROUNDUP(ROW(A95)/5,0),MOD(ROW(A95)-1,5)+1))</f>
        <v>6</v>
      </c>
      <c r="E96" s="56" t="str">
        <f>"GI Council"</f>
        <v>GI Council</v>
      </c>
    </row>
    <row r="97" spans="1:5">
      <c r="A97" s="56" t="str">
        <f aca="1">INDEX(Raw_GI_Council!$B$2:$B$100,ROUNDUP(ROW(A96)/5,0))</f>
        <v>Kshema General insurance</v>
      </c>
      <c r="B97" s="56" t="str">
        <f aca="1">INDEX(Raw_GI_Council!$C$2:$C$100,ROUNDUP(ROW(A96)/5,0))</f>
        <v>April-25</v>
      </c>
      <c r="C97" s="56" t="str">
        <f aca="1">INDEX(Raw_GI_Council!$D$1:$H$1,1,MOD(ROW(A96)-1,5)+1)</f>
        <v>Fire</v>
      </c>
      <c r="D97" s="90">
        <f aca="1">IF(INDEX(Raw_GI_Council!$D$2:$H$100,ROUNDUP(ROW(A96)/5,0),MOD(ROW(A96)-1,5)+1)="-",0,INDEX(Raw_GI_Council!$D$2:$H$100,ROUNDUP(ROW(A96)/5,0),MOD(ROW(A96)-1,5)+1))</f>
        <v>0</v>
      </c>
      <c r="E97" s="56" t="str">
        <f>"GI Council"</f>
        <v>GI Council</v>
      </c>
    </row>
    <row r="98" spans="1:5">
      <c r="A98" s="56" t="str">
        <f aca="1">INDEX(Raw_GI_Council!$B$2:$B$100,ROUNDUP(ROW(A97)/5,0))</f>
        <v>Kshema General insurance</v>
      </c>
      <c r="B98" s="56" t="str">
        <f aca="1">INDEX(Raw_GI_Council!$C$2:$C$100,ROUNDUP(ROW(A97)/5,0))</f>
        <v>April-25</v>
      </c>
      <c r="C98" s="56" t="str">
        <f aca="1">INDEX(Raw_GI_Council!$D$1:$H$1,1,MOD(ROW(A97)-1,5)+1)</f>
        <v>Marine_Total</v>
      </c>
      <c r="D98" s="90">
        <f aca="1">IF(INDEX(Raw_GI_Council!$D$2:$H$100,ROUNDUP(ROW(A97)/5,0),MOD(ROW(A97)-1,5)+1)="-",0,INDEX(Raw_GI_Council!$D$2:$H$100,ROUNDUP(ROW(A97)/5,0),MOD(ROW(A97)-1,5)+1))</f>
        <v>0</v>
      </c>
      <c r="E98" s="56" t="str">
        <f>"GI Council"</f>
        <v>GI Council</v>
      </c>
    </row>
    <row r="99" spans="1:5">
      <c r="A99" s="56" t="str">
        <f aca="1">INDEX(Raw_GI_Council!$B$2:$B$100,ROUNDUP(ROW(A98)/5,0))</f>
        <v>Kshema General insurance</v>
      </c>
      <c r="B99" s="56" t="str">
        <f aca="1">INDEX(Raw_GI_Council!$C$2:$C$100,ROUNDUP(ROW(A98)/5,0))</f>
        <v>April-25</v>
      </c>
      <c r="C99" s="56" t="str">
        <f aca="1">INDEX(Raw_GI_Council!$D$1:$H$1,1,MOD(ROW(A98)-1,5)+1)</f>
        <v>Motor_Total</v>
      </c>
      <c r="D99" s="90">
        <f aca="1">IF(INDEX(Raw_GI_Council!$D$2:$H$100,ROUNDUP(ROW(A98)/5,0),MOD(ROW(A98)-1,5)+1)="-",0,INDEX(Raw_GI_Council!$D$2:$H$100,ROUNDUP(ROW(A98)/5,0),MOD(ROW(A98)-1,5)+1))</f>
        <v>0</v>
      </c>
      <c r="E99" s="56" t="str">
        <f>"GI Council"</f>
        <v>GI Council</v>
      </c>
    </row>
    <row r="100" spans="1:5">
      <c r="A100" s="56" t="str">
        <f aca="1">INDEX(Raw_GI_Council!$B$2:$B$100,ROUNDUP(ROW(A99)/5,0))</f>
        <v>Kshema General insurance</v>
      </c>
      <c r="B100" s="56" t="str">
        <f aca="1">INDEX(Raw_GI_Council!$C$2:$C$100,ROUNDUP(ROW(A99)/5,0))</f>
        <v>April-25</v>
      </c>
      <c r="C100" s="56" t="str">
        <f aca="1">INDEX(Raw_GI_Council!$D$1:$H$1,1,MOD(ROW(A99)-1,5)+1)</f>
        <v>Health</v>
      </c>
      <c r="D100" s="90">
        <f aca="1">IF(INDEX(Raw_GI_Council!$D$2:$H$100,ROUNDUP(ROW(A99)/5,0),MOD(ROW(A99)-1,5)+1)="-",0,INDEX(Raw_GI_Council!$D$2:$H$100,ROUNDUP(ROW(A99)/5,0),MOD(ROW(A99)-1,5)+1))</f>
        <v>0</v>
      </c>
      <c r="E100" s="56" t="str">
        <f>"GI Council"</f>
        <v>GI Council</v>
      </c>
    </row>
    <row r="101" spans="1:5">
      <c r="A101" s="56" t="str">
        <f aca="1">INDEX(Raw_GI_Council!$B$2:$B$100,ROUNDUP(ROW(A100)/5,0))</f>
        <v>Kshema General insurance</v>
      </c>
      <c r="B101" s="56" t="str">
        <f aca="1">INDEX(Raw_GI_Council!$C$2:$C$100,ROUNDUP(ROW(A100)/5,0))</f>
        <v>April-25</v>
      </c>
      <c r="C101" s="56" t="str">
        <f aca="1">INDEX(Raw_GI_Council!$D$1:$H$1,1,MOD(ROW(A100)-1,5)+1)</f>
        <v>Grand_Total</v>
      </c>
      <c r="D101" s="90">
        <f aca="1">IF(INDEX(Raw_GI_Council!$D$2:$H$100,ROUNDUP(ROW(A100)/5,0),MOD(ROW(A100)-1,5)+1)="-",0,INDEX(Raw_GI_Council!$D$2:$H$100,ROUNDUP(ROW(A100)/5,0),MOD(ROW(A100)-1,5)+1))</f>
        <v>306.480000000000018</v>
      </c>
      <c r="E101" s="56" t="str">
        <f>"GI Council"</f>
        <v>GI Council</v>
      </c>
    </row>
    <row r="102" spans="1:5">
      <c r="A102" s="56" t="str">
        <f aca="1">INDEX(Raw_GI_Council!$B$2:$B$100,ROUNDUP(ROW(A101)/5,0))</f>
        <v>Liberty  General Insurance Co. Ltd</v>
      </c>
      <c r="B102" s="56" t="str">
        <f aca="1">INDEX(Raw_GI_Council!$C$2:$C$100,ROUNDUP(ROW(A101)/5,0))</f>
        <v>April-26</v>
      </c>
      <c r="C102" s="56" t="str">
        <f aca="1">INDEX(Raw_GI_Council!$D$1:$H$1,1,MOD(ROW(A101)-1,5)+1)</f>
        <v>Fire</v>
      </c>
      <c r="D102" s="90">
        <f aca="1">IF(INDEX(Raw_GI_Council!$D$2:$H$100,ROUNDUP(ROW(A101)/5,0),MOD(ROW(A101)-1,5)+1)="-",0,INDEX(Raw_GI_Council!$D$2:$H$100,ROUNDUP(ROW(A101)/5,0),MOD(ROW(A101)-1,5)+1))</f>
        <v>14.6699999999999999</v>
      </c>
      <c r="E102" s="56" t="str">
        <f>"GI Council"</f>
        <v>GI Council</v>
      </c>
    </row>
    <row r="103" spans="1:5">
      <c r="A103" s="56" t="str">
        <f aca="1">INDEX(Raw_GI_Council!$B$2:$B$100,ROUNDUP(ROW(A102)/5,0))</f>
        <v>Liberty  General Insurance Co. Ltd</v>
      </c>
      <c r="B103" s="56" t="str">
        <f aca="1">INDEX(Raw_GI_Council!$C$2:$C$100,ROUNDUP(ROW(A102)/5,0))</f>
        <v>April-26</v>
      </c>
      <c r="C103" s="56" t="str">
        <f aca="1">INDEX(Raw_GI_Council!$D$1:$H$1,1,MOD(ROW(A102)-1,5)+1)</f>
        <v>Marine_Total</v>
      </c>
      <c r="D103" s="90">
        <f aca="1">IF(INDEX(Raw_GI_Council!$D$2:$H$100,ROUNDUP(ROW(A102)/5,0),MOD(ROW(A102)-1,5)+1)="-",0,INDEX(Raw_GI_Council!$D$2:$H$100,ROUNDUP(ROW(A102)/5,0),MOD(ROW(A102)-1,5)+1))</f>
        <v>3.12999999999999989</v>
      </c>
      <c r="E103" s="56" t="str">
        <f>"GI Council"</f>
        <v>GI Council</v>
      </c>
    </row>
    <row r="104" spans="1:5">
      <c r="A104" s="56" t="str">
        <f aca="1">INDEX(Raw_GI_Council!$B$2:$B$100,ROUNDUP(ROW(A103)/5,0))</f>
        <v>Liberty  General Insurance Co. Ltd</v>
      </c>
      <c r="B104" s="56" t="str">
        <f aca="1">INDEX(Raw_GI_Council!$C$2:$C$100,ROUNDUP(ROW(A103)/5,0))</f>
        <v>April-26</v>
      </c>
      <c r="C104" s="56" t="str">
        <f aca="1">INDEX(Raw_GI_Council!$D$1:$H$1,1,MOD(ROW(A103)-1,5)+1)</f>
        <v>Motor_Total</v>
      </c>
      <c r="D104" s="90">
        <f aca="1">IF(INDEX(Raw_GI_Council!$D$2:$H$100,ROUNDUP(ROW(A103)/5,0),MOD(ROW(A103)-1,5)+1)="-",0,INDEX(Raw_GI_Council!$D$2:$H$100,ROUNDUP(ROW(A103)/5,0),MOD(ROW(A103)-1,5)+1))</f>
        <v>185.319999999999993</v>
      </c>
      <c r="E104" s="56" t="str">
        <f>"GI Council"</f>
        <v>GI Council</v>
      </c>
    </row>
    <row r="105" spans="1:5">
      <c r="A105" s="56" t="str">
        <f aca="1">INDEX(Raw_GI_Council!$B$2:$B$100,ROUNDUP(ROW(A104)/5,0))</f>
        <v>Liberty  General Insurance Co. Ltd</v>
      </c>
      <c r="B105" s="56" t="str">
        <f aca="1">INDEX(Raw_GI_Council!$C$2:$C$100,ROUNDUP(ROW(A104)/5,0))</f>
        <v>April-26</v>
      </c>
      <c r="C105" s="56" t="str">
        <f aca="1">INDEX(Raw_GI_Council!$D$1:$H$1,1,MOD(ROW(A104)-1,5)+1)</f>
        <v>Health</v>
      </c>
      <c r="D105" s="90">
        <f aca="1">IF(INDEX(Raw_GI_Council!$D$2:$H$100,ROUNDUP(ROW(A104)/5,0),MOD(ROW(A104)-1,5)+1)="-",0,INDEX(Raw_GI_Council!$D$2:$H$100,ROUNDUP(ROW(A104)/5,0),MOD(ROW(A104)-1,5)+1))</f>
        <v>79.7399999999999807</v>
      </c>
      <c r="E105" s="56" t="str">
        <f>"GI Council"</f>
        <v>GI Council</v>
      </c>
    </row>
    <row r="106" spans="1:5">
      <c r="A106" s="56" t="str">
        <f aca="1">INDEX(Raw_GI_Council!$B$2:$B$100,ROUNDUP(ROW(A105)/5,0))</f>
        <v>Liberty  General Insurance Co. Ltd</v>
      </c>
      <c r="B106" s="56" t="str">
        <f aca="1">INDEX(Raw_GI_Council!$C$2:$C$100,ROUNDUP(ROW(A105)/5,0))</f>
        <v>April-26</v>
      </c>
      <c r="C106" s="56" t="str">
        <f aca="1">INDEX(Raw_GI_Council!$D$1:$H$1,1,MOD(ROW(A105)-1,5)+1)</f>
        <v>Grand_Total</v>
      </c>
      <c r="D106" s="90">
        <f aca="1">IF(INDEX(Raw_GI_Council!$D$2:$H$100,ROUNDUP(ROW(A105)/5,0),MOD(ROW(A105)-1,5)+1)="-",0,INDEX(Raw_GI_Council!$D$2:$H$100,ROUNDUP(ROW(A105)/5,0),MOD(ROW(A105)-1,5)+1))</f>
        <v>310.860000000000014</v>
      </c>
      <c r="E106" s="56" t="str">
        <f>"GI Council"</f>
        <v>GI Council</v>
      </c>
    </row>
    <row r="107" spans="1:5">
      <c r="A107" s="56" t="str">
        <f aca="1">INDEX(Raw_GI_Council!$B$2:$B$100,ROUNDUP(ROW(A106)/5,0))</f>
        <v>Liberty  General Insurance Co. Ltd</v>
      </c>
      <c r="B107" s="56" t="str">
        <f aca="1">INDEX(Raw_GI_Council!$C$2:$C$100,ROUNDUP(ROW(A106)/5,0))</f>
        <v>April-25</v>
      </c>
      <c r="C107" s="56" t="str">
        <f aca="1">INDEX(Raw_GI_Council!$D$1:$H$1,1,MOD(ROW(A106)-1,5)+1)</f>
        <v>Fire</v>
      </c>
      <c r="D107" s="90">
        <f aca="1">IF(INDEX(Raw_GI_Council!$D$2:$H$100,ROUNDUP(ROW(A106)/5,0),MOD(ROW(A106)-1,5)+1)="-",0,INDEX(Raw_GI_Council!$D$2:$H$100,ROUNDUP(ROW(A106)/5,0),MOD(ROW(A106)-1,5)+1))</f>
        <v>12.6500000000000004</v>
      </c>
      <c r="E107" s="56" t="str">
        <f>"GI Council"</f>
        <v>GI Council</v>
      </c>
    </row>
    <row r="108" spans="1:5">
      <c r="A108" s="56" t="str">
        <f aca="1">INDEX(Raw_GI_Council!$B$2:$B$100,ROUNDUP(ROW(A107)/5,0))</f>
        <v>Liberty  General Insurance Co. Ltd</v>
      </c>
      <c r="B108" s="56" t="str">
        <f aca="1">INDEX(Raw_GI_Council!$C$2:$C$100,ROUNDUP(ROW(A107)/5,0))</f>
        <v>April-25</v>
      </c>
      <c r="C108" s="56" t="str">
        <f aca="1">INDEX(Raw_GI_Council!$D$1:$H$1,1,MOD(ROW(A107)-1,5)+1)</f>
        <v>Marine_Total</v>
      </c>
      <c r="D108" s="90">
        <f aca="1">IF(INDEX(Raw_GI_Council!$D$2:$H$100,ROUNDUP(ROW(A107)/5,0),MOD(ROW(A107)-1,5)+1)="-",0,INDEX(Raw_GI_Council!$D$2:$H$100,ROUNDUP(ROW(A107)/5,0),MOD(ROW(A107)-1,5)+1))</f>
        <v>3.83000000000000007</v>
      </c>
      <c r="E108" s="56" t="str">
        <f>"GI Council"</f>
        <v>GI Council</v>
      </c>
    </row>
    <row r="109" spans="1:5">
      <c r="A109" s="56" t="str">
        <f aca="1">INDEX(Raw_GI_Council!$B$2:$B$100,ROUNDUP(ROW(A108)/5,0))</f>
        <v>Liberty  General Insurance Co. Ltd</v>
      </c>
      <c r="B109" s="56" t="str">
        <f aca="1">INDEX(Raw_GI_Council!$C$2:$C$100,ROUNDUP(ROW(A108)/5,0))</f>
        <v>April-25</v>
      </c>
      <c r="C109" s="56" t="str">
        <f aca="1">INDEX(Raw_GI_Council!$D$1:$H$1,1,MOD(ROW(A108)-1,5)+1)</f>
        <v>Motor_Total</v>
      </c>
      <c r="D109" s="90">
        <f aca="1">IF(INDEX(Raw_GI_Council!$D$2:$H$100,ROUNDUP(ROW(A108)/5,0),MOD(ROW(A108)-1,5)+1)="-",0,INDEX(Raw_GI_Council!$D$2:$H$100,ROUNDUP(ROW(A108)/5,0),MOD(ROW(A108)-1,5)+1))</f>
        <v>127.480000000000004</v>
      </c>
      <c r="E109" s="56" t="str">
        <f>"GI Council"</f>
        <v>GI Council</v>
      </c>
    </row>
    <row r="110" spans="1:5">
      <c r="A110" s="56" t="str">
        <f aca="1">INDEX(Raw_GI_Council!$B$2:$B$100,ROUNDUP(ROW(A109)/5,0))</f>
        <v>Liberty  General Insurance Co. Ltd</v>
      </c>
      <c r="B110" s="56" t="str">
        <f aca="1">INDEX(Raw_GI_Council!$C$2:$C$100,ROUNDUP(ROW(A109)/5,0))</f>
        <v>April-25</v>
      </c>
      <c r="C110" s="56" t="str">
        <f aca="1">INDEX(Raw_GI_Council!$D$1:$H$1,1,MOD(ROW(A109)-1,5)+1)</f>
        <v>Health</v>
      </c>
      <c r="D110" s="90">
        <f aca="1">IF(INDEX(Raw_GI_Council!$D$2:$H$100,ROUNDUP(ROW(A109)/5,0),MOD(ROW(A109)-1,5)+1)="-",0,INDEX(Raw_GI_Council!$D$2:$H$100,ROUNDUP(ROW(A109)/5,0),MOD(ROW(A109)-1,5)+1))</f>
        <v>74.6899999999999835</v>
      </c>
      <c r="E110" s="56" t="str">
        <f>"GI Council"</f>
        <v>GI Council</v>
      </c>
    </row>
    <row r="111" spans="1:5">
      <c r="A111" s="56" t="str">
        <f aca="1">INDEX(Raw_GI_Council!$B$2:$B$100,ROUNDUP(ROW(A110)/5,0))</f>
        <v>Liberty  General Insurance Co. Ltd</v>
      </c>
      <c r="B111" s="56" t="str">
        <f aca="1">INDEX(Raw_GI_Council!$C$2:$C$100,ROUNDUP(ROW(A110)/5,0))</f>
        <v>April-25</v>
      </c>
      <c r="C111" s="56" t="str">
        <f aca="1">INDEX(Raw_GI_Council!$D$1:$H$1,1,MOD(ROW(A110)-1,5)+1)</f>
        <v>Grand_Total</v>
      </c>
      <c r="D111" s="90">
        <f aca="1">IF(INDEX(Raw_GI_Council!$D$2:$H$100,ROUNDUP(ROW(A110)/5,0),MOD(ROW(A110)-1,5)+1)="-",0,INDEX(Raw_GI_Council!$D$2:$H$100,ROUNDUP(ROW(A110)/5,0),MOD(ROW(A110)-1,5)+1))</f>
        <v>241.139999999999986</v>
      </c>
      <c r="E111" s="56" t="str">
        <f>"GI Council"</f>
        <v>GI Council</v>
      </c>
    </row>
    <row r="112" spans="1:5">
      <c r="A112" s="56" t="str">
        <f aca="1">INDEX(Raw_GI_Council!$B$2:$B$100,ROUNDUP(ROW(A111)/5,0))</f>
        <v>Magma General Insurance Limited</v>
      </c>
      <c r="B112" s="56" t="str">
        <f aca="1">INDEX(Raw_GI_Council!$C$2:$C$100,ROUNDUP(ROW(A111)/5,0))</f>
        <v>April-26</v>
      </c>
      <c r="C112" s="56" t="str">
        <f aca="1">INDEX(Raw_GI_Council!$D$1:$H$1,1,MOD(ROW(A111)-1,5)+1)</f>
        <v>Fire</v>
      </c>
      <c r="D112" s="90">
        <f aca="1">IF(INDEX(Raw_GI_Council!$D$2:$H$100,ROUNDUP(ROW(A111)/5,0),MOD(ROW(A111)-1,5)+1)="-",0,INDEX(Raw_GI_Council!$D$2:$H$100,ROUNDUP(ROW(A111)/5,0),MOD(ROW(A111)-1,5)+1))</f>
        <v>43.259999999999998</v>
      </c>
      <c r="E112" s="56" t="str">
        <f>"GI Council"</f>
        <v>GI Council</v>
      </c>
    </row>
    <row r="113" spans="1:5">
      <c r="A113" s="56" t="str">
        <f aca="1">INDEX(Raw_GI_Council!$B$2:$B$100,ROUNDUP(ROW(A112)/5,0))</f>
        <v>Magma General Insurance Limited</v>
      </c>
      <c r="B113" s="56" t="str">
        <f aca="1">INDEX(Raw_GI_Council!$C$2:$C$100,ROUNDUP(ROW(A112)/5,0))</f>
        <v>April-26</v>
      </c>
      <c r="C113" s="56" t="str">
        <f aca="1">INDEX(Raw_GI_Council!$D$1:$H$1,1,MOD(ROW(A112)-1,5)+1)</f>
        <v>Marine_Total</v>
      </c>
      <c r="D113" s="90">
        <f aca="1">IF(INDEX(Raw_GI_Council!$D$2:$H$100,ROUNDUP(ROW(A112)/5,0),MOD(ROW(A112)-1,5)+1)="-",0,INDEX(Raw_GI_Council!$D$2:$H$100,ROUNDUP(ROW(A112)/5,0),MOD(ROW(A112)-1,5)+1))</f>
        <v>5.26999999999999957</v>
      </c>
      <c r="E113" s="56" t="str">
        <f>"GI Council"</f>
        <v>GI Council</v>
      </c>
    </row>
    <row r="114" spans="1:5">
      <c r="A114" s="56" t="str">
        <f aca="1">INDEX(Raw_GI_Council!$B$2:$B$100,ROUNDUP(ROW(A113)/5,0))</f>
        <v>Magma General Insurance Limited</v>
      </c>
      <c r="B114" s="56" t="str">
        <f aca="1">INDEX(Raw_GI_Council!$C$2:$C$100,ROUNDUP(ROW(A113)/5,0))</f>
        <v>April-26</v>
      </c>
      <c r="C114" s="56" t="str">
        <f aca="1">INDEX(Raw_GI_Council!$D$1:$H$1,1,MOD(ROW(A113)-1,5)+1)</f>
        <v>Motor_Total</v>
      </c>
      <c r="D114" s="90">
        <f aca="1">IF(INDEX(Raw_GI_Council!$D$2:$H$100,ROUNDUP(ROW(A113)/5,0),MOD(ROW(A113)-1,5)+1)="-",0,INDEX(Raw_GI_Council!$D$2:$H$100,ROUNDUP(ROW(A113)/5,0),MOD(ROW(A113)-1,5)+1))</f>
        <v>145.580000000000013</v>
      </c>
      <c r="E114" s="56" t="str">
        <f>"GI Council"</f>
        <v>GI Council</v>
      </c>
    </row>
    <row r="115" spans="1:5">
      <c r="A115" s="56" t="str">
        <f aca="1">INDEX(Raw_GI_Council!$B$2:$B$100,ROUNDUP(ROW(A114)/5,0))</f>
        <v>Magma General Insurance Limited</v>
      </c>
      <c r="B115" s="56" t="str">
        <f aca="1">INDEX(Raw_GI_Council!$C$2:$C$100,ROUNDUP(ROW(A114)/5,0))</f>
        <v>April-26</v>
      </c>
      <c r="C115" s="56" t="str">
        <f aca="1">INDEX(Raw_GI_Council!$D$1:$H$1,1,MOD(ROW(A114)-1,5)+1)</f>
        <v>Health</v>
      </c>
      <c r="D115" s="90">
        <f aca="1">IF(INDEX(Raw_GI_Council!$D$2:$H$100,ROUNDUP(ROW(A114)/5,0),MOD(ROW(A114)-1,5)+1)="-",0,INDEX(Raw_GI_Council!$D$2:$H$100,ROUNDUP(ROW(A114)/5,0),MOD(ROW(A114)-1,5)+1))</f>
        <v>157.5</v>
      </c>
      <c r="E115" s="56" t="str">
        <f>"GI Council"</f>
        <v>GI Council</v>
      </c>
    </row>
    <row r="116" spans="1:5">
      <c r="A116" s="56" t="str">
        <f aca="1">INDEX(Raw_GI_Council!$B$2:$B$100,ROUNDUP(ROW(A115)/5,0))</f>
        <v>Magma General Insurance Limited</v>
      </c>
      <c r="B116" s="56" t="str">
        <f aca="1">INDEX(Raw_GI_Council!$C$2:$C$100,ROUNDUP(ROW(A115)/5,0))</f>
        <v>April-26</v>
      </c>
      <c r="C116" s="56" t="str">
        <f aca="1">INDEX(Raw_GI_Council!$D$1:$H$1,1,MOD(ROW(A115)-1,5)+1)</f>
        <v>Grand_Total</v>
      </c>
      <c r="D116" s="90">
        <f aca="1">IF(INDEX(Raw_GI_Council!$D$2:$H$100,ROUNDUP(ROW(A115)/5,0),MOD(ROW(A115)-1,5)+1)="-",0,INDEX(Raw_GI_Council!$D$2:$H$100,ROUNDUP(ROW(A115)/5,0),MOD(ROW(A115)-1,5)+1))</f>
        <v>376.899999999999977</v>
      </c>
      <c r="E116" s="56" t="str">
        <f>"GI Council"</f>
        <v>GI Council</v>
      </c>
    </row>
    <row r="117" spans="1:5">
      <c r="A117" s="56" t="str">
        <f aca="1">INDEX(Raw_GI_Council!$B$2:$B$100,ROUNDUP(ROW(A116)/5,0))</f>
        <v>Magma General Insurance Limited</v>
      </c>
      <c r="B117" s="56" t="str">
        <f aca="1">INDEX(Raw_GI_Council!$C$2:$C$100,ROUNDUP(ROW(A116)/5,0))</f>
        <v>April-25</v>
      </c>
      <c r="C117" s="56" t="str">
        <f aca="1">INDEX(Raw_GI_Council!$D$1:$H$1,1,MOD(ROW(A116)-1,5)+1)</f>
        <v>Fire</v>
      </c>
      <c r="D117" s="90">
        <f aca="1">IF(INDEX(Raw_GI_Council!$D$2:$H$100,ROUNDUP(ROW(A116)/5,0),MOD(ROW(A116)-1,5)+1)="-",0,INDEX(Raw_GI_Council!$D$2:$H$100,ROUNDUP(ROW(A116)/5,0),MOD(ROW(A116)-1,5)+1))</f>
        <v>63.3999999999999986</v>
      </c>
      <c r="E117" s="56" t="str">
        <f>"GI Council"</f>
        <v>GI Council</v>
      </c>
    </row>
    <row r="118" spans="1:5">
      <c r="A118" s="56" t="str">
        <f aca="1">INDEX(Raw_GI_Council!$B$2:$B$100,ROUNDUP(ROW(A117)/5,0))</f>
        <v>Magma General Insurance Limited</v>
      </c>
      <c r="B118" s="56" t="str">
        <f aca="1">INDEX(Raw_GI_Council!$C$2:$C$100,ROUNDUP(ROW(A117)/5,0))</f>
        <v>April-25</v>
      </c>
      <c r="C118" s="56" t="str">
        <f aca="1">INDEX(Raw_GI_Council!$D$1:$H$1,1,MOD(ROW(A117)-1,5)+1)</f>
        <v>Marine_Total</v>
      </c>
      <c r="D118" s="90">
        <f aca="1">IF(INDEX(Raw_GI_Council!$D$2:$H$100,ROUNDUP(ROW(A117)/5,0),MOD(ROW(A117)-1,5)+1)="-",0,INDEX(Raw_GI_Council!$D$2:$H$100,ROUNDUP(ROW(A117)/5,0),MOD(ROW(A117)-1,5)+1))</f>
        <v>3.58000000000000007</v>
      </c>
      <c r="E118" s="56" t="str">
        <f>"GI Council"</f>
        <v>GI Council</v>
      </c>
    </row>
    <row r="119" spans="1:5">
      <c r="A119" s="56" t="str">
        <f aca="1">INDEX(Raw_GI_Council!$B$2:$B$100,ROUNDUP(ROW(A118)/5,0))</f>
        <v>Magma General Insurance Limited</v>
      </c>
      <c r="B119" s="56" t="str">
        <f aca="1">INDEX(Raw_GI_Council!$C$2:$C$100,ROUNDUP(ROW(A118)/5,0))</f>
        <v>April-25</v>
      </c>
      <c r="C119" s="56" t="str">
        <f aca="1">INDEX(Raw_GI_Council!$D$1:$H$1,1,MOD(ROW(A118)-1,5)+1)</f>
        <v>Motor_Total</v>
      </c>
      <c r="D119" s="90">
        <f aca="1">IF(INDEX(Raw_GI_Council!$D$2:$H$100,ROUNDUP(ROW(A118)/5,0),MOD(ROW(A118)-1,5)+1)="-",0,INDEX(Raw_GI_Council!$D$2:$H$100,ROUNDUP(ROW(A118)/5,0),MOD(ROW(A118)-1,5)+1))</f>
        <v>166.889999999999958</v>
      </c>
      <c r="E119" s="56" t="str">
        <f>"GI Council"</f>
        <v>GI Council</v>
      </c>
    </row>
    <row r="120" spans="1:5">
      <c r="A120" s="56" t="str">
        <f aca="1">INDEX(Raw_GI_Council!$B$2:$B$100,ROUNDUP(ROW(A119)/5,0))</f>
        <v>Magma General Insurance Limited</v>
      </c>
      <c r="B120" s="56" t="str">
        <f aca="1">INDEX(Raw_GI_Council!$C$2:$C$100,ROUNDUP(ROW(A119)/5,0))</f>
        <v>April-25</v>
      </c>
      <c r="C120" s="56" t="str">
        <f aca="1">INDEX(Raw_GI_Council!$D$1:$H$1,1,MOD(ROW(A119)-1,5)+1)</f>
        <v>Health</v>
      </c>
      <c r="D120" s="90">
        <f aca="1">IF(INDEX(Raw_GI_Council!$D$2:$H$100,ROUNDUP(ROW(A119)/5,0),MOD(ROW(A119)-1,5)+1)="-",0,INDEX(Raw_GI_Council!$D$2:$H$100,ROUNDUP(ROW(A119)/5,0),MOD(ROW(A119)-1,5)+1))</f>
        <v>118.170000000000002</v>
      </c>
      <c r="E120" s="56" t="str">
        <f>"GI Council"</f>
        <v>GI Council</v>
      </c>
    </row>
    <row r="121" spans="1:5">
      <c r="A121" s="56" t="str">
        <f aca="1">INDEX(Raw_GI_Council!$B$2:$B$100,ROUNDUP(ROW(A120)/5,0))</f>
        <v>Magma General Insurance Limited</v>
      </c>
      <c r="B121" s="56" t="str">
        <f aca="1">INDEX(Raw_GI_Council!$C$2:$C$100,ROUNDUP(ROW(A120)/5,0))</f>
        <v>April-25</v>
      </c>
      <c r="C121" s="56" t="str">
        <f aca="1">INDEX(Raw_GI_Council!$D$1:$H$1,1,MOD(ROW(A120)-1,5)+1)</f>
        <v>Grand_Total</v>
      </c>
      <c r="D121" s="90">
        <f aca="1">IF(INDEX(Raw_GI_Council!$D$2:$H$100,ROUNDUP(ROW(A120)/5,0),MOD(ROW(A120)-1,5)+1)="-",0,INDEX(Raw_GI_Council!$D$2:$H$100,ROUNDUP(ROW(A120)/5,0),MOD(ROW(A120)-1,5)+1))</f>
        <v>380.050000000000011</v>
      </c>
      <c r="E121" s="56" t="str">
        <f>"GI Council"</f>
        <v>GI Council</v>
      </c>
    </row>
    <row r="122" spans="1:5">
      <c r="A122" s="56" t="str">
        <f aca="1">INDEX(Raw_GI_Council!$B$2:$B$100,ROUNDUP(ROW(A121)/5,0))</f>
        <v>National Insurance Co Ltd</v>
      </c>
      <c r="B122" s="56" t="str">
        <f aca="1">INDEX(Raw_GI_Council!$C$2:$C$100,ROUNDUP(ROW(A121)/5,0))</f>
        <v>April-26</v>
      </c>
      <c r="C122" s="56" t="str">
        <f aca="1">INDEX(Raw_GI_Council!$D$1:$H$1,1,MOD(ROW(A121)-1,5)+1)</f>
        <v>Fire</v>
      </c>
      <c r="D122" s="90">
        <f aca="1">IF(INDEX(Raw_GI_Council!$D$2:$H$100,ROUNDUP(ROW(A121)/5,0),MOD(ROW(A121)-1,5)+1)="-",0,INDEX(Raw_GI_Council!$D$2:$H$100,ROUNDUP(ROW(A121)/5,0),MOD(ROW(A121)-1,5)+1))</f>
        <v>263.95999999999998</v>
      </c>
      <c r="E122" s="56" t="str">
        <f>"GI Council"</f>
        <v>GI Council</v>
      </c>
    </row>
    <row r="123" spans="1:5">
      <c r="A123" s="56" t="str">
        <f aca="1">INDEX(Raw_GI_Council!$B$2:$B$100,ROUNDUP(ROW(A122)/5,0))</f>
        <v>National Insurance Co Ltd</v>
      </c>
      <c r="B123" s="56" t="str">
        <f aca="1">INDEX(Raw_GI_Council!$C$2:$C$100,ROUNDUP(ROW(A122)/5,0))</f>
        <v>April-26</v>
      </c>
      <c r="C123" s="56" t="str">
        <f aca="1">INDEX(Raw_GI_Council!$D$1:$H$1,1,MOD(ROW(A122)-1,5)+1)</f>
        <v>Marine_Total</v>
      </c>
      <c r="D123" s="90">
        <f aca="1">IF(INDEX(Raw_GI_Council!$D$2:$H$100,ROUNDUP(ROW(A122)/5,0),MOD(ROW(A122)-1,5)+1)="-",0,INDEX(Raw_GI_Council!$D$2:$H$100,ROUNDUP(ROW(A122)/5,0),MOD(ROW(A122)-1,5)+1))</f>
        <v>35.1300000000000026</v>
      </c>
      <c r="E123" s="56" t="str">
        <f>"GI Council"</f>
        <v>GI Council</v>
      </c>
    </row>
    <row r="124" spans="1:5">
      <c r="A124" s="56" t="str">
        <f aca="1">INDEX(Raw_GI_Council!$B$2:$B$100,ROUNDUP(ROW(A123)/5,0))</f>
        <v>National Insurance Co Ltd</v>
      </c>
      <c r="B124" s="56" t="str">
        <f aca="1">INDEX(Raw_GI_Council!$C$2:$C$100,ROUNDUP(ROW(A123)/5,0))</f>
        <v>April-26</v>
      </c>
      <c r="C124" s="56" t="str">
        <f aca="1">INDEX(Raw_GI_Council!$D$1:$H$1,1,MOD(ROW(A123)-1,5)+1)</f>
        <v>Motor_Total</v>
      </c>
      <c r="D124" s="90">
        <f aca="1">IF(INDEX(Raw_GI_Council!$D$2:$H$100,ROUNDUP(ROW(A123)/5,0),MOD(ROW(A123)-1,5)+1)="-",0,INDEX(Raw_GI_Council!$D$2:$H$100,ROUNDUP(ROW(A123)/5,0),MOD(ROW(A123)-1,5)+1))</f>
        <v>480.600000000000023</v>
      </c>
      <c r="E124" s="56" t="str">
        <f>"GI Council"</f>
        <v>GI Council</v>
      </c>
    </row>
    <row r="125" spans="1:5">
      <c r="A125" s="56" t="str">
        <f aca="1">INDEX(Raw_GI_Council!$B$2:$B$100,ROUNDUP(ROW(A124)/5,0))</f>
        <v>National Insurance Co Ltd</v>
      </c>
      <c r="B125" s="56" t="str">
        <f aca="1">INDEX(Raw_GI_Council!$C$2:$C$100,ROUNDUP(ROW(A124)/5,0))</f>
        <v>April-26</v>
      </c>
      <c r="C125" s="56" t="str">
        <f aca="1">INDEX(Raw_GI_Council!$D$1:$H$1,1,MOD(ROW(A124)-1,5)+1)</f>
        <v>Health</v>
      </c>
      <c r="D125" s="90">
        <f aca="1">IF(INDEX(Raw_GI_Council!$D$2:$H$100,ROUNDUP(ROW(A124)/5,0),MOD(ROW(A124)-1,5)+1)="-",0,INDEX(Raw_GI_Council!$D$2:$H$100,ROUNDUP(ROW(A124)/5,0),MOD(ROW(A124)-1,5)+1))</f>
        <v>636.82000000000005</v>
      </c>
      <c r="E125" s="56" t="str">
        <f>"GI Council"</f>
        <v>GI Council</v>
      </c>
    </row>
    <row r="126" spans="1:5">
      <c r="A126" s="56" t="str">
        <f aca="1">INDEX(Raw_GI_Council!$B$2:$B$100,ROUNDUP(ROW(A125)/5,0))</f>
        <v>National Insurance Co Ltd</v>
      </c>
      <c r="B126" s="56" t="str">
        <f aca="1">INDEX(Raw_GI_Council!$C$2:$C$100,ROUNDUP(ROW(A125)/5,0))</f>
        <v>April-26</v>
      </c>
      <c r="C126" s="56" t="str">
        <f aca="1">INDEX(Raw_GI_Council!$D$1:$H$1,1,MOD(ROW(A125)-1,5)+1)</f>
        <v>Grand_Total</v>
      </c>
      <c r="D126" s="90">
        <f aca="1">IF(INDEX(Raw_GI_Council!$D$2:$H$100,ROUNDUP(ROW(A125)/5,0),MOD(ROW(A125)-1,5)+1)="-",0,INDEX(Raw_GI_Council!$D$2:$H$100,ROUNDUP(ROW(A125)/5,0),MOD(ROW(A125)-1,5)+1))</f>
        <v>1605.18000000000006</v>
      </c>
      <c r="E126" s="56" t="str">
        <f>"GI Council"</f>
        <v>GI Council</v>
      </c>
    </row>
    <row r="127" spans="1:5">
      <c r="A127" s="56" t="str">
        <f aca="1">INDEX(Raw_GI_Council!$B$2:$B$100,ROUNDUP(ROW(A126)/5,0))</f>
        <v>National Insurance Co Ltd</v>
      </c>
      <c r="B127" s="56" t="str">
        <f aca="1">INDEX(Raw_GI_Council!$C$2:$C$100,ROUNDUP(ROW(A126)/5,0))</f>
        <v>April-25</v>
      </c>
      <c r="C127" s="56" t="str">
        <f aca="1">INDEX(Raw_GI_Council!$D$1:$H$1,1,MOD(ROW(A126)-1,5)+1)</f>
        <v>Fire</v>
      </c>
      <c r="D127" s="90">
        <f aca="1">IF(INDEX(Raw_GI_Council!$D$2:$H$100,ROUNDUP(ROW(A126)/5,0),MOD(ROW(A126)-1,5)+1)="-",0,INDEX(Raw_GI_Council!$D$2:$H$100,ROUNDUP(ROW(A126)/5,0),MOD(ROW(A126)-1,5)+1))</f>
        <v>287.129999999999995</v>
      </c>
      <c r="E127" s="56" t="str">
        <f>"GI Council"</f>
        <v>GI Council</v>
      </c>
    </row>
    <row r="128" spans="1:5">
      <c r="A128" s="56" t="str">
        <f aca="1">INDEX(Raw_GI_Council!$B$2:$B$100,ROUNDUP(ROW(A127)/5,0))</f>
        <v>National Insurance Co Ltd</v>
      </c>
      <c r="B128" s="56" t="str">
        <f aca="1">INDEX(Raw_GI_Council!$C$2:$C$100,ROUNDUP(ROW(A127)/5,0))</f>
        <v>April-25</v>
      </c>
      <c r="C128" s="56" t="str">
        <f aca="1">INDEX(Raw_GI_Council!$D$1:$H$1,1,MOD(ROW(A127)-1,5)+1)</f>
        <v>Marine_Total</v>
      </c>
      <c r="D128" s="90">
        <f aca="1">IF(INDEX(Raw_GI_Council!$D$2:$H$100,ROUNDUP(ROW(A127)/5,0),MOD(ROW(A127)-1,5)+1)="-",0,INDEX(Raw_GI_Council!$D$2:$H$100,ROUNDUP(ROW(A127)/5,0),MOD(ROW(A127)-1,5)+1))</f>
        <v>19.1099999999999994</v>
      </c>
      <c r="E128" s="56" t="str">
        <f>"GI Council"</f>
        <v>GI Council</v>
      </c>
    </row>
    <row r="129" spans="1:5">
      <c r="A129" s="56" t="str">
        <f aca="1">INDEX(Raw_GI_Council!$B$2:$B$100,ROUNDUP(ROW(A128)/5,0))</f>
        <v>National Insurance Co Ltd</v>
      </c>
      <c r="B129" s="56" t="str">
        <f aca="1">INDEX(Raw_GI_Council!$C$2:$C$100,ROUNDUP(ROW(A128)/5,0))</f>
        <v>April-25</v>
      </c>
      <c r="C129" s="56" t="str">
        <f aca="1">INDEX(Raw_GI_Council!$D$1:$H$1,1,MOD(ROW(A128)-1,5)+1)</f>
        <v>Motor_Total</v>
      </c>
      <c r="D129" s="90">
        <f aca="1">IF(INDEX(Raw_GI_Council!$D$2:$H$100,ROUNDUP(ROW(A128)/5,0),MOD(ROW(A128)-1,5)+1)="-",0,INDEX(Raw_GI_Council!$D$2:$H$100,ROUNDUP(ROW(A128)/5,0),MOD(ROW(A128)-1,5)+1))</f>
        <v>435.319999999999993</v>
      </c>
      <c r="E129" s="56" t="str">
        <f>"GI Council"</f>
        <v>GI Council</v>
      </c>
    </row>
    <row r="130" spans="1:5">
      <c r="A130" s="56" t="str">
        <f aca="1">INDEX(Raw_GI_Council!$B$2:$B$100,ROUNDUP(ROW(A129)/5,0))</f>
        <v>National Insurance Co Ltd</v>
      </c>
      <c r="B130" s="56" t="str">
        <f aca="1">INDEX(Raw_GI_Council!$C$2:$C$100,ROUNDUP(ROW(A129)/5,0))</f>
        <v>April-25</v>
      </c>
      <c r="C130" s="56" t="str">
        <f aca="1">INDEX(Raw_GI_Council!$D$1:$H$1,1,MOD(ROW(A129)-1,5)+1)</f>
        <v>Health</v>
      </c>
      <c r="D130" s="90">
        <f aca="1">IF(INDEX(Raw_GI_Council!$D$2:$H$100,ROUNDUP(ROW(A129)/5,0),MOD(ROW(A129)-1,5)+1)="-",0,INDEX(Raw_GI_Council!$D$2:$H$100,ROUNDUP(ROW(A129)/5,0),MOD(ROW(A129)-1,5)+1))</f>
        <v>620.580000000000041</v>
      </c>
      <c r="E130" s="56" t="str">
        <f>"GI Council"</f>
        <v>GI Council</v>
      </c>
    </row>
    <row r="131" spans="1:5">
      <c r="A131" s="56" t="str">
        <f aca="1">INDEX(Raw_GI_Council!$B$2:$B$100,ROUNDUP(ROW(A130)/5,0))</f>
        <v>National Insurance Co Ltd</v>
      </c>
      <c r="B131" s="56" t="str">
        <f aca="1">INDEX(Raw_GI_Council!$C$2:$C$100,ROUNDUP(ROW(A130)/5,0))</f>
        <v>April-25</v>
      </c>
      <c r="C131" s="56" t="str">
        <f aca="1">INDEX(Raw_GI_Council!$D$1:$H$1,1,MOD(ROW(A130)-1,5)+1)</f>
        <v>Grand_Total</v>
      </c>
      <c r="D131" s="90">
        <f aca="1">IF(INDEX(Raw_GI_Council!$D$2:$H$100,ROUNDUP(ROW(A130)/5,0),MOD(ROW(A130)-1,5)+1)="-",0,INDEX(Raw_GI_Council!$D$2:$H$100,ROUNDUP(ROW(A130)/5,0),MOD(ROW(A130)-1,5)+1))</f>
        <v>1528.72000000000003</v>
      </c>
      <c r="E131" s="56" t="str">
        <f>"GI Council"</f>
        <v>GI Council</v>
      </c>
    </row>
    <row r="132" spans="1:5">
      <c r="A132" s="56" t="str">
        <f aca="1">INDEX(Raw_GI_Council!$B$2:$B$100,ROUNDUP(ROW(A131)/5,0))</f>
        <v>Navi General Insurance Co. Ltd</v>
      </c>
      <c r="B132" s="56" t="str">
        <f aca="1">INDEX(Raw_GI_Council!$C$2:$C$100,ROUNDUP(ROW(A131)/5,0))</f>
        <v>April-26</v>
      </c>
      <c r="C132" s="56" t="str">
        <f aca="1">INDEX(Raw_GI_Council!$D$1:$H$1,1,MOD(ROW(A131)-1,5)+1)</f>
        <v>Fire</v>
      </c>
      <c r="D132" s="90">
        <f aca="1">IF(INDEX(Raw_GI_Council!$D$2:$H$100,ROUNDUP(ROW(A131)/5,0),MOD(ROW(A131)-1,5)+1)="-",0,INDEX(Raw_GI_Council!$D$2:$H$100,ROUNDUP(ROW(A131)/5,0),MOD(ROW(A131)-1,5)+1))</f>
        <v>-0.05</v>
      </c>
      <c r="E132" s="56" t="str">
        <f>"GI Council"</f>
        <v>GI Council</v>
      </c>
    </row>
    <row r="133" spans="1:5">
      <c r="A133" s="56" t="str">
        <f aca="1">INDEX(Raw_GI_Council!$B$2:$B$100,ROUNDUP(ROW(A132)/5,0))</f>
        <v>Navi General Insurance Co. Ltd</v>
      </c>
      <c r="B133" s="56" t="str">
        <f aca="1">INDEX(Raw_GI_Council!$C$2:$C$100,ROUNDUP(ROW(A132)/5,0))</f>
        <v>April-26</v>
      </c>
      <c r="C133" s="56" t="str">
        <f aca="1">INDEX(Raw_GI_Council!$D$1:$H$1,1,MOD(ROW(A132)-1,5)+1)</f>
        <v>Marine_Total</v>
      </c>
      <c r="D133" s="90">
        <f aca="1">IF(INDEX(Raw_GI_Council!$D$2:$H$100,ROUNDUP(ROW(A132)/5,0),MOD(ROW(A132)-1,5)+1)="-",0,INDEX(Raw_GI_Council!$D$2:$H$100,ROUNDUP(ROW(A132)/5,0),MOD(ROW(A132)-1,5)+1))</f>
        <v>0</v>
      </c>
      <c r="E133" s="56" t="str">
        <f>"GI Council"</f>
        <v>GI Council</v>
      </c>
    </row>
    <row r="134" spans="1:5">
      <c r="A134" s="56" t="str">
        <f aca="1">INDEX(Raw_GI_Council!$B$2:$B$100,ROUNDUP(ROW(A133)/5,0))</f>
        <v>Navi General Insurance Co. Ltd</v>
      </c>
      <c r="B134" s="56" t="str">
        <f aca="1">INDEX(Raw_GI_Council!$C$2:$C$100,ROUNDUP(ROW(A133)/5,0))</f>
        <v>April-26</v>
      </c>
      <c r="C134" s="56" t="str">
        <f aca="1">INDEX(Raw_GI_Council!$D$1:$H$1,1,MOD(ROW(A133)-1,5)+1)</f>
        <v>Motor_Total</v>
      </c>
      <c r="D134" s="90">
        <f aca="1">IF(INDEX(Raw_GI_Council!$D$2:$H$100,ROUNDUP(ROW(A133)/5,0),MOD(ROW(A133)-1,5)+1)="-",0,INDEX(Raw_GI_Council!$D$2:$H$100,ROUNDUP(ROW(A133)/5,0),MOD(ROW(A133)-1,5)+1))</f>
        <v>2.24000000000000021</v>
      </c>
      <c r="E134" s="56" t="str">
        <f>"GI Council"</f>
        <v>GI Council</v>
      </c>
    </row>
    <row r="135" spans="1:5">
      <c r="A135" s="56" t="str">
        <f aca="1">INDEX(Raw_GI_Council!$B$2:$B$100,ROUNDUP(ROW(A134)/5,0))</f>
        <v>Navi General Insurance Co. Ltd</v>
      </c>
      <c r="B135" s="56" t="str">
        <f aca="1">INDEX(Raw_GI_Council!$C$2:$C$100,ROUNDUP(ROW(A134)/5,0))</f>
        <v>April-26</v>
      </c>
      <c r="C135" s="56" t="str">
        <f aca="1">INDEX(Raw_GI_Council!$D$1:$H$1,1,MOD(ROW(A134)-1,5)+1)</f>
        <v>Health</v>
      </c>
      <c r="D135" s="90">
        <f aca="1">IF(INDEX(Raw_GI_Council!$D$2:$H$100,ROUNDUP(ROW(A134)/5,0),MOD(ROW(A134)-1,5)+1)="-",0,INDEX(Raw_GI_Council!$D$2:$H$100,ROUNDUP(ROW(A134)/5,0),MOD(ROW(A134)-1,5)+1))</f>
        <v>13.4900000000000002</v>
      </c>
      <c r="E135" s="56" t="str">
        <f>"GI Council"</f>
        <v>GI Council</v>
      </c>
    </row>
    <row r="136" spans="1:5">
      <c r="A136" s="56" t="str">
        <f aca="1">INDEX(Raw_GI_Council!$B$2:$B$100,ROUNDUP(ROW(A135)/5,0))</f>
        <v>Navi General Insurance Co. Ltd</v>
      </c>
      <c r="B136" s="56" t="str">
        <f aca="1">INDEX(Raw_GI_Council!$C$2:$C$100,ROUNDUP(ROW(A135)/5,0))</f>
        <v>April-26</v>
      </c>
      <c r="C136" s="56" t="str">
        <f aca="1">INDEX(Raw_GI_Council!$D$1:$H$1,1,MOD(ROW(A135)-1,5)+1)</f>
        <v>Grand_Total</v>
      </c>
      <c r="D136" s="90">
        <f aca="1">IF(INDEX(Raw_GI_Council!$D$2:$H$100,ROUNDUP(ROW(A135)/5,0),MOD(ROW(A135)-1,5)+1)="-",0,INDEX(Raw_GI_Council!$D$2:$H$100,ROUNDUP(ROW(A135)/5,0),MOD(ROW(A135)-1,5)+1))</f>
        <v>15.4700000000000006</v>
      </c>
      <c r="E136" s="56" t="str">
        <f>"GI Council"</f>
        <v>GI Council</v>
      </c>
    </row>
    <row r="137" spans="1:5">
      <c r="A137" s="56" t="str">
        <f aca="1">INDEX(Raw_GI_Council!$B$2:$B$100,ROUNDUP(ROW(A136)/5,0))</f>
        <v>Navi General Insurance Co. Ltd</v>
      </c>
      <c r="B137" s="56" t="str">
        <f aca="1">INDEX(Raw_GI_Council!$C$2:$C$100,ROUNDUP(ROW(A136)/5,0))</f>
        <v>April-25</v>
      </c>
      <c r="C137" s="56" t="str">
        <f aca="1">INDEX(Raw_GI_Council!$D$1:$H$1,1,MOD(ROW(A136)-1,5)+1)</f>
        <v>Fire</v>
      </c>
      <c r="D137" s="90">
        <f aca="1">IF(INDEX(Raw_GI_Council!$D$2:$H$100,ROUNDUP(ROW(A136)/5,0),MOD(ROW(A136)-1,5)+1)="-",0,INDEX(Raw_GI_Council!$D$2:$H$100,ROUNDUP(ROW(A136)/5,0),MOD(ROW(A136)-1,5)+1))</f>
        <v>-0.04</v>
      </c>
      <c r="E137" s="56" t="str">
        <f>"GI Council"</f>
        <v>GI Council</v>
      </c>
    </row>
    <row r="138" spans="1:5">
      <c r="A138" s="56" t="str">
        <f aca="1">INDEX(Raw_GI_Council!$B$2:$B$100,ROUNDUP(ROW(A137)/5,0))</f>
        <v>Navi General Insurance Co. Ltd</v>
      </c>
      <c r="B138" s="56" t="str">
        <f aca="1">INDEX(Raw_GI_Council!$C$2:$C$100,ROUNDUP(ROW(A137)/5,0))</f>
        <v>April-25</v>
      </c>
      <c r="C138" s="56" t="str">
        <f aca="1">INDEX(Raw_GI_Council!$D$1:$H$1,1,MOD(ROW(A137)-1,5)+1)</f>
        <v>Marine_Total</v>
      </c>
      <c r="D138" s="90">
        <f aca="1">IF(INDEX(Raw_GI_Council!$D$2:$H$100,ROUNDUP(ROW(A137)/5,0),MOD(ROW(A137)-1,5)+1)="-",0,INDEX(Raw_GI_Council!$D$2:$H$100,ROUNDUP(ROW(A137)/5,0),MOD(ROW(A137)-1,5)+1))</f>
        <v>0</v>
      </c>
      <c r="E138" s="56" t="str">
        <f>"GI Council"</f>
        <v>GI Council</v>
      </c>
    </row>
    <row r="139" spans="1:5">
      <c r="A139" s="56" t="str">
        <f aca="1">INDEX(Raw_GI_Council!$B$2:$B$100,ROUNDUP(ROW(A138)/5,0))</f>
        <v>Navi General Insurance Co. Ltd</v>
      </c>
      <c r="B139" s="56" t="str">
        <f aca="1">INDEX(Raw_GI_Council!$C$2:$C$100,ROUNDUP(ROW(A138)/5,0))</f>
        <v>April-25</v>
      </c>
      <c r="C139" s="56" t="str">
        <f aca="1">INDEX(Raw_GI_Council!$D$1:$H$1,1,MOD(ROW(A138)-1,5)+1)</f>
        <v>Motor_Total</v>
      </c>
      <c r="D139" s="90">
        <f aca="1">IF(INDEX(Raw_GI_Council!$D$2:$H$100,ROUNDUP(ROW(A138)/5,0),MOD(ROW(A138)-1,5)+1)="-",0,INDEX(Raw_GI_Council!$D$2:$H$100,ROUNDUP(ROW(A138)/5,0),MOD(ROW(A138)-1,5)+1))</f>
        <v>0.110000000000000009</v>
      </c>
      <c r="E139" s="56" t="str">
        <f>"GI Council"</f>
        <v>GI Council</v>
      </c>
    </row>
    <row r="140" spans="1:5">
      <c r="A140" s="56" t="str">
        <f aca="1">INDEX(Raw_GI_Council!$B$2:$B$100,ROUNDUP(ROW(A139)/5,0))</f>
        <v>Navi General Insurance Co. Ltd</v>
      </c>
      <c r="B140" s="56" t="str">
        <f aca="1">INDEX(Raw_GI_Council!$C$2:$C$100,ROUNDUP(ROW(A139)/5,0))</f>
        <v>April-25</v>
      </c>
      <c r="C140" s="56" t="str">
        <f aca="1">INDEX(Raw_GI_Council!$D$1:$H$1,1,MOD(ROW(A139)-1,5)+1)</f>
        <v>Health</v>
      </c>
      <c r="D140" s="90">
        <f aca="1">IF(INDEX(Raw_GI_Council!$D$2:$H$100,ROUNDUP(ROW(A139)/5,0),MOD(ROW(A139)-1,5)+1)="-",0,INDEX(Raw_GI_Council!$D$2:$H$100,ROUNDUP(ROW(A139)/5,0),MOD(ROW(A139)-1,5)+1))</f>
        <v>22.5899999999999999</v>
      </c>
      <c r="E140" s="56" t="str">
        <f>"GI Council"</f>
        <v>GI Council</v>
      </c>
    </row>
    <row r="141" spans="1:5">
      <c r="A141" s="56" t="str">
        <f aca="1">INDEX(Raw_GI_Council!$B$2:$B$100,ROUNDUP(ROW(A140)/5,0))</f>
        <v>Navi General Insurance Co. Ltd</v>
      </c>
      <c r="B141" s="56" t="str">
        <f aca="1">INDEX(Raw_GI_Council!$C$2:$C$100,ROUNDUP(ROW(A140)/5,0))</f>
        <v>April-25</v>
      </c>
      <c r="C141" s="56" t="str">
        <f aca="1">INDEX(Raw_GI_Council!$D$1:$H$1,1,MOD(ROW(A140)-1,5)+1)</f>
        <v>Grand_Total</v>
      </c>
      <c r="D141" s="90">
        <f aca="1">IF(INDEX(Raw_GI_Council!$D$2:$H$100,ROUNDUP(ROW(A140)/5,0),MOD(ROW(A140)-1,5)+1)="-",0,INDEX(Raw_GI_Council!$D$2:$H$100,ROUNDUP(ROW(A140)/5,0),MOD(ROW(A140)-1,5)+1))</f>
        <v>22.6900000000000013</v>
      </c>
      <c r="E141" s="56" t="str">
        <f>"GI Council"</f>
        <v>GI Council</v>
      </c>
    </row>
    <row r="142" spans="1:5">
      <c r="A142" s="56" t="str">
        <f aca="1">INDEX(Raw_GI_Council!$B$2:$B$100,ROUNDUP(ROW(A141)/5,0))</f>
        <v>Raheja QBE General Insurance Co Ltd</v>
      </c>
      <c r="B142" s="56" t="str">
        <f aca="1">INDEX(Raw_GI_Council!$C$2:$C$100,ROUNDUP(ROW(A141)/5,0))</f>
        <v>April-26</v>
      </c>
      <c r="C142" s="56" t="str">
        <f aca="1">INDEX(Raw_GI_Council!$D$1:$H$1,1,MOD(ROW(A141)-1,5)+1)</f>
        <v>Fire</v>
      </c>
      <c r="D142" s="90">
        <f aca="1">IF(INDEX(Raw_GI_Council!$D$2:$H$100,ROUNDUP(ROW(A141)/5,0),MOD(ROW(A141)-1,5)+1)="-",0,INDEX(Raw_GI_Council!$D$2:$H$100,ROUNDUP(ROW(A141)/5,0),MOD(ROW(A141)-1,5)+1))</f>
        <v>0.330000000000000027</v>
      </c>
      <c r="E142" s="56" t="str">
        <f>"GI Council"</f>
        <v>GI Council</v>
      </c>
    </row>
    <row r="143" spans="1:5">
      <c r="A143" s="56" t="str">
        <f aca="1">INDEX(Raw_GI_Council!$B$2:$B$100,ROUNDUP(ROW(A142)/5,0))</f>
        <v>Raheja QBE General Insurance Co Ltd</v>
      </c>
      <c r="B143" s="56" t="str">
        <f aca="1">INDEX(Raw_GI_Council!$C$2:$C$100,ROUNDUP(ROW(A142)/5,0))</f>
        <v>April-26</v>
      </c>
      <c r="C143" s="56" t="str">
        <f aca="1">INDEX(Raw_GI_Council!$D$1:$H$1,1,MOD(ROW(A142)-1,5)+1)</f>
        <v>Marine_Total</v>
      </c>
      <c r="D143" s="90">
        <f aca="1">IF(INDEX(Raw_GI_Council!$D$2:$H$100,ROUNDUP(ROW(A142)/5,0),MOD(ROW(A142)-1,5)+1)="-",0,INDEX(Raw_GI_Council!$D$2:$H$100,ROUNDUP(ROW(A142)/5,0),MOD(ROW(A142)-1,5)+1))</f>
        <v>0</v>
      </c>
      <c r="E143" s="56" t="str">
        <f>"GI Council"</f>
        <v>GI Council</v>
      </c>
    </row>
    <row r="144" spans="1:5">
      <c r="A144" s="56" t="str">
        <f aca="1">INDEX(Raw_GI_Council!$B$2:$B$100,ROUNDUP(ROW(A143)/5,0))</f>
        <v>Raheja QBE General Insurance Co Ltd</v>
      </c>
      <c r="B144" s="56" t="str">
        <f aca="1">INDEX(Raw_GI_Council!$C$2:$C$100,ROUNDUP(ROW(A143)/5,0))</f>
        <v>April-26</v>
      </c>
      <c r="C144" s="56" t="str">
        <f aca="1">INDEX(Raw_GI_Council!$D$1:$H$1,1,MOD(ROW(A143)-1,5)+1)</f>
        <v>Motor_Total</v>
      </c>
      <c r="D144" s="90">
        <f aca="1">IF(INDEX(Raw_GI_Council!$D$2:$H$100,ROUNDUP(ROW(A143)/5,0),MOD(ROW(A143)-1,5)+1)="-",0,INDEX(Raw_GI_Council!$D$2:$H$100,ROUNDUP(ROW(A143)/5,0),MOD(ROW(A143)-1,5)+1))</f>
        <v>6.75999999999999979</v>
      </c>
      <c r="E144" s="56" t="str">
        <f>"GI Council"</f>
        <v>GI Council</v>
      </c>
    </row>
    <row r="145" spans="1:5">
      <c r="A145" s="56" t="str">
        <f aca="1">INDEX(Raw_GI_Council!$B$2:$B$100,ROUNDUP(ROW(A144)/5,0))</f>
        <v>Raheja QBE General Insurance Co Ltd</v>
      </c>
      <c r="B145" s="56" t="str">
        <f aca="1">INDEX(Raw_GI_Council!$C$2:$C$100,ROUNDUP(ROW(A144)/5,0))</f>
        <v>April-26</v>
      </c>
      <c r="C145" s="56" t="str">
        <f aca="1">INDEX(Raw_GI_Council!$D$1:$H$1,1,MOD(ROW(A144)-1,5)+1)</f>
        <v>Health</v>
      </c>
      <c r="D145" s="90">
        <f aca="1">IF(INDEX(Raw_GI_Council!$D$2:$H$100,ROUNDUP(ROW(A144)/5,0),MOD(ROW(A144)-1,5)+1)="-",0,INDEX(Raw_GI_Council!$D$2:$H$100,ROUNDUP(ROW(A144)/5,0),MOD(ROW(A144)-1,5)+1))</f>
        <v>0.4</v>
      </c>
      <c r="E145" s="56" t="str">
        <f>"GI Council"</f>
        <v>GI Council</v>
      </c>
    </row>
    <row r="146" spans="1:5">
      <c r="A146" s="56" t="str">
        <f aca="1">INDEX(Raw_GI_Council!$B$2:$B$100,ROUNDUP(ROW(A145)/5,0))</f>
        <v>Raheja QBE General Insurance Co Ltd</v>
      </c>
      <c r="B146" s="56" t="str">
        <f aca="1">INDEX(Raw_GI_Council!$C$2:$C$100,ROUNDUP(ROW(A145)/5,0))</f>
        <v>April-26</v>
      </c>
      <c r="C146" s="56" t="str">
        <f aca="1">INDEX(Raw_GI_Council!$D$1:$H$1,1,MOD(ROW(A145)-1,5)+1)</f>
        <v>Grand_Total</v>
      </c>
      <c r="D146" s="90">
        <f aca="1">IF(INDEX(Raw_GI_Council!$D$2:$H$100,ROUNDUP(ROW(A145)/5,0),MOD(ROW(A145)-1,5)+1)="-",0,INDEX(Raw_GI_Council!$D$2:$H$100,ROUNDUP(ROW(A145)/5,0),MOD(ROW(A145)-1,5)+1))</f>
        <v>12.9700000000000006</v>
      </c>
      <c r="E146" s="56" t="str">
        <f>"GI Council"</f>
        <v>GI Council</v>
      </c>
    </row>
    <row r="147" spans="1:5">
      <c r="A147" s="56" t="str">
        <f aca="1">INDEX(Raw_GI_Council!$B$2:$B$100,ROUNDUP(ROW(A146)/5,0))</f>
        <v>Raheja QBE General Insurance Co Ltd</v>
      </c>
      <c r="B147" s="56" t="str">
        <f aca="1">INDEX(Raw_GI_Council!$C$2:$C$100,ROUNDUP(ROW(A146)/5,0))</f>
        <v>April-25</v>
      </c>
      <c r="C147" s="56" t="str">
        <f aca="1">INDEX(Raw_GI_Council!$D$1:$H$1,1,MOD(ROW(A146)-1,5)+1)</f>
        <v>Fire</v>
      </c>
      <c r="D147" s="90">
        <f aca="1">IF(INDEX(Raw_GI_Council!$D$2:$H$100,ROUNDUP(ROW(A146)/5,0),MOD(ROW(A146)-1,5)+1)="-",0,INDEX(Raw_GI_Council!$D$2:$H$100,ROUNDUP(ROW(A146)/5,0),MOD(ROW(A146)-1,5)+1))</f>
        <v>1.17999999999999994</v>
      </c>
      <c r="E147" s="56" t="str">
        <f>"GI Council"</f>
        <v>GI Council</v>
      </c>
    </row>
    <row r="148" spans="1:5">
      <c r="A148" s="56" t="str">
        <f aca="1">INDEX(Raw_GI_Council!$B$2:$B$100,ROUNDUP(ROW(A147)/5,0))</f>
        <v>Raheja QBE General Insurance Co Ltd</v>
      </c>
      <c r="B148" s="56" t="str">
        <f aca="1">INDEX(Raw_GI_Council!$C$2:$C$100,ROUNDUP(ROW(A147)/5,0))</f>
        <v>April-25</v>
      </c>
      <c r="C148" s="56" t="str">
        <f aca="1">INDEX(Raw_GI_Council!$D$1:$H$1,1,MOD(ROW(A147)-1,5)+1)</f>
        <v>Marine_Total</v>
      </c>
      <c r="D148" s="90">
        <f aca="1">IF(INDEX(Raw_GI_Council!$D$2:$H$100,ROUNDUP(ROW(A147)/5,0),MOD(ROW(A147)-1,5)+1)="-",0,INDEX(Raw_GI_Council!$D$2:$H$100,ROUNDUP(ROW(A147)/5,0),MOD(ROW(A147)-1,5)+1))</f>
        <v>-0.09</v>
      </c>
      <c r="E148" s="56" t="str">
        <f>"GI Council"</f>
        <v>GI Council</v>
      </c>
    </row>
    <row r="149" spans="1:5">
      <c r="A149" s="56" t="str">
        <f aca="1">INDEX(Raw_GI_Council!$B$2:$B$100,ROUNDUP(ROW(A148)/5,0))</f>
        <v>Raheja QBE General Insurance Co Ltd</v>
      </c>
      <c r="B149" s="56" t="str">
        <f aca="1">INDEX(Raw_GI_Council!$C$2:$C$100,ROUNDUP(ROW(A148)/5,0))</f>
        <v>April-25</v>
      </c>
      <c r="C149" s="56" t="str">
        <f aca="1">INDEX(Raw_GI_Council!$D$1:$H$1,1,MOD(ROW(A148)-1,5)+1)</f>
        <v>Motor_Total</v>
      </c>
      <c r="D149" s="90">
        <f aca="1">IF(INDEX(Raw_GI_Council!$D$2:$H$100,ROUNDUP(ROW(A148)/5,0),MOD(ROW(A148)-1,5)+1)="-",0,INDEX(Raw_GI_Council!$D$2:$H$100,ROUNDUP(ROW(A148)/5,0),MOD(ROW(A148)-1,5)+1))</f>
        <v>3.24000000000000021</v>
      </c>
      <c r="E149" s="56" t="str">
        <f>"GI Council"</f>
        <v>GI Council</v>
      </c>
    </row>
    <row r="150" spans="1:5">
      <c r="A150" s="56" t="str">
        <f aca="1">INDEX(Raw_GI_Council!$B$2:$B$100,ROUNDUP(ROW(A149)/5,0))</f>
        <v>Raheja QBE General Insurance Co Ltd</v>
      </c>
      <c r="B150" s="56" t="str">
        <f aca="1">INDEX(Raw_GI_Council!$C$2:$C$100,ROUNDUP(ROW(A149)/5,0))</f>
        <v>April-25</v>
      </c>
      <c r="C150" s="56" t="str">
        <f aca="1">INDEX(Raw_GI_Council!$D$1:$H$1,1,MOD(ROW(A149)-1,5)+1)</f>
        <v>Health</v>
      </c>
      <c r="D150" s="90">
        <f aca="1">IF(INDEX(Raw_GI_Council!$D$2:$H$100,ROUNDUP(ROW(A149)/5,0),MOD(ROW(A149)-1,5)+1)="-",0,INDEX(Raw_GI_Council!$D$2:$H$100,ROUNDUP(ROW(A149)/5,0),MOD(ROW(A149)-1,5)+1))</f>
        <v>0.320000000000000018</v>
      </c>
      <c r="E150" s="56" t="str">
        <f>"GI Council"</f>
        <v>GI Council</v>
      </c>
    </row>
    <row r="151" spans="1:5">
      <c r="A151" s="56" t="str">
        <f aca="1">INDEX(Raw_GI_Council!$B$2:$B$100,ROUNDUP(ROW(A150)/5,0))</f>
        <v>Raheja QBE General Insurance Co Ltd</v>
      </c>
      <c r="B151" s="56" t="str">
        <f aca="1">INDEX(Raw_GI_Council!$C$2:$C$100,ROUNDUP(ROW(A150)/5,0))</f>
        <v>April-25</v>
      </c>
      <c r="C151" s="56" t="str">
        <f aca="1">INDEX(Raw_GI_Council!$D$1:$H$1,1,MOD(ROW(A150)-1,5)+1)</f>
        <v>Grand_Total</v>
      </c>
      <c r="D151" s="90">
        <f aca="1">IF(INDEX(Raw_GI_Council!$D$2:$H$100,ROUNDUP(ROW(A150)/5,0),MOD(ROW(A150)-1,5)+1)="-",0,INDEX(Raw_GI_Council!$D$2:$H$100,ROUNDUP(ROW(A150)/5,0),MOD(ROW(A150)-1,5)+1))</f>
        <v>16.370000000000001</v>
      </c>
      <c r="E151" s="56" t="str">
        <f>"GI Council"</f>
        <v>GI Council</v>
      </c>
    </row>
    <row r="152" spans="1:5">
      <c r="A152" s="56" t="str">
        <f aca="1">INDEX(Raw_GI_Council!$B$2:$B$100,ROUNDUP(ROW(A151)/5,0))</f>
        <v>Royal Sundaram General Insurance Co Ltd</v>
      </c>
      <c r="B152" s="56" t="str">
        <f aca="1">INDEX(Raw_GI_Council!$C$2:$C$100,ROUNDUP(ROW(A151)/5,0))</f>
        <v>April-26</v>
      </c>
      <c r="C152" s="56" t="str">
        <f aca="1">INDEX(Raw_GI_Council!$D$1:$H$1,1,MOD(ROW(A151)-1,5)+1)</f>
        <v>Fire</v>
      </c>
      <c r="D152" s="90">
        <f aca="1">IF(INDEX(Raw_GI_Council!$D$2:$H$100,ROUNDUP(ROW(A151)/5,0),MOD(ROW(A151)-1,5)+1)="-",0,INDEX(Raw_GI_Council!$D$2:$H$100,ROUNDUP(ROW(A151)/5,0),MOD(ROW(A151)-1,5)+1))</f>
        <v>66.3199999999999932</v>
      </c>
      <c r="E152" s="56" t="str">
        <f>"GI Council"</f>
        <v>GI Council</v>
      </c>
    </row>
    <row r="153" spans="1:5">
      <c r="A153" s="56" t="str">
        <f aca="1">INDEX(Raw_GI_Council!$B$2:$B$100,ROUNDUP(ROW(A152)/5,0))</f>
        <v>Royal Sundaram General Insurance Co Ltd</v>
      </c>
      <c r="B153" s="56" t="str">
        <f aca="1">INDEX(Raw_GI_Council!$C$2:$C$100,ROUNDUP(ROW(A152)/5,0))</f>
        <v>April-26</v>
      </c>
      <c r="C153" s="56" t="str">
        <f aca="1">INDEX(Raw_GI_Council!$D$1:$H$1,1,MOD(ROW(A152)-1,5)+1)</f>
        <v>Marine_Total</v>
      </c>
      <c r="D153" s="90">
        <f aca="1">IF(INDEX(Raw_GI_Council!$D$2:$H$100,ROUNDUP(ROW(A152)/5,0),MOD(ROW(A152)-1,5)+1)="-",0,INDEX(Raw_GI_Council!$D$2:$H$100,ROUNDUP(ROW(A152)/5,0),MOD(ROW(A152)-1,5)+1))</f>
        <v>13.3300000000000001</v>
      </c>
      <c r="E153" s="56" t="str">
        <f>"GI Council"</f>
        <v>GI Council</v>
      </c>
    </row>
    <row r="154" spans="1:5">
      <c r="A154" s="56" t="str">
        <f aca="1">INDEX(Raw_GI_Council!$B$2:$B$100,ROUNDUP(ROW(A153)/5,0))</f>
        <v>Royal Sundaram General Insurance Co Ltd</v>
      </c>
      <c r="B154" s="56" t="str">
        <f aca="1">INDEX(Raw_GI_Council!$C$2:$C$100,ROUNDUP(ROW(A153)/5,0))</f>
        <v>April-26</v>
      </c>
      <c r="C154" s="56" t="str">
        <f aca="1">INDEX(Raw_GI_Council!$D$1:$H$1,1,MOD(ROW(A153)-1,5)+1)</f>
        <v>Motor_Total</v>
      </c>
      <c r="D154" s="90">
        <f aca="1">IF(INDEX(Raw_GI_Council!$D$2:$H$100,ROUNDUP(ROW(A153)/5,0),MOD(ROW(A153)-1,5)+1)="-",0,INDEX(Raw_GI_Council!$D$2:$H$100,ROUNDUP(ROW(A153)/5,0),MOD(ROW(A153)-1,5)+1))</f>
        <v>216.060000000000002</v>
      </c>
      <c r="E154" s="56" t="str">
        <f>"GI Council"</f>
        <v>GI Council</v>
      </c>
    </row>
    <row r="155" spans="1:5">
      <c r="A155" s="56" t="str">
        <f aca="1">INDEX(Raw_GI_Council!$B$2:$B$100,ROUNDUP(ROW(A154)/5,0))</f>
        <v>Royal Sundaram General Insurance Co Ltd</v>
      </c>
      <c r="B155" s="56" t="str">
        <f aca="1">INDEX(Raw_GI_Council!$C$2:$C$100,ROUNDUP(ROW(A154)/5,0))</f>
        <v>April-26</v>
      </c>
      <c r="C155" s="56" t="str">
        <f aca="1">INDEX(Raw_GI_Council!$D$1:$H$1,1,MOD(ROW(A154)-1,5)+1)</f>
        <v>Health</v>
      </c>
      <c r="D155" s="90">
        <f aca="1">IF(INDEX(Raw_GI_Council!$D$2:$H$100,ROUNDUP(ROW(A154)/5,0),MOD(ROW(A154)-1,5)+1)="-",0,INDEX(Raw_GI_Council!$D$2:$H$100,ROUNDUP(ROW(A154)/5,0),MOD(ROW(A154)-1,5)+1))</f>
        <v>257.850000000000023</v>
      </c>
      <c r="E155" s="56" t="str">
        <f>"GI Council"</f>
        <v>GI Council</v>
      </c>
    </row>
    <row r="156" spans="1:5">
      <c r="A156" s="56" t="str">
        <f aca="1">INDEX(Raw_GI_Council!$B$2:$B$100,ROUNDUP(ROW(A155)/5,0))</f>
        <v>Royal Sundaram General Insurance Co Ltd</v>
      </c>
      <c r="B156" s="56" t="str">
        <f aca="1">INDEX(Raw_GI_Council!$C$2:$C$100,ROUNDUP(ROW(A155)/5,0))</f>
        <v>April-26</v>
      </c>
      <c r="C156" s="56" t="str">
        <f aca="1">INDEX(Raw_GI_Council!$D$1:$H$1,1,MOD(ROW(A155)-1,5)+1)</f>
        <v>Grand_Total</v>
      </c>
      <c r="D156" s="90">
        <f aca="1">IF(INDEX(Raw_GI_Council!$D$2:$H$100,ROUNDUP(ROW(A155)/5,0),MOD(ROW(A155)-1,5)+1)="-",0,INDEX(Raw_GI_Council!$D$2:$H$100,ROUNDUP(ROW(A155)/5,0),MOD(ROW(A155)-1,5)+1))</f>
        <v>576.480000000000018</v>
      </c>
      <c r="E156" s="56" t="str">
        <f>"GI Council"</f>
        <v>GI Council</v>
      </c>
    </row>
    <row r="157" spans="1:5">
      <c r="A157" s="56" t="str">
        <f aca="1">INDEX(Raw_GI_Council!$B$2:$B$100,ROUNDUP(ROW(A156)/5,0))</f>
        <v>Royal Sundaram General Insurance Co Ltd</v>
      </c>
      <c r="B157" s="56" t="str">
        <f aca="1">INDEX(Raw_GI_Council!$C$2:$C$100,ROUNDUP(ROW(A156)/5,0))</f>
        <v>April-25</v>
      </c>
      <c r="C157" s="56" t="str">
        <f aca="1">INDEX(Raw_GI_Council!$D$1:$H$1,1,MOD(ROW(A156)-1,5)+1)</f>
        <v>Fire</v>
      </c>
      <c r="D157" s="90">
        <f aca="1">IF(INDEX(Raw_GI_Council!$D$2:$H$100,ROUNDUP(ROW(A156)/5,0),MOD(ROW(A156)-1,5)+1)="-",0,INDEX(Raw_GI_Council!$D$2:$H$100,ROUNDUP(ROW(A156)/5,0),MOD(ROW(A156)-1,5)+1))</f>
        <v>90.7999999999999972</v>
      </c>
      <c r="E157" s="56" t="str">
        <f>"GI Council"</f>
        <v>GI Council</v>
      </c>
    </row>
    <row r="158" spans="1:5">
      <c r="A158" s="56" t="str">
        <f aca="1">INDEX(Raw_GI_Council!$B$2:$B$100,ROUNDUP(ROW(A157)/5,0))</f>
        <v>Royal Sundaram General Insurance Co Ltd</v>
      </c>
      <c r="B158" s="56" t="str">
        <f aca="1">INDEX(Raw_GI_Council!$C$2:$C$100,ROUNDUP(ROW(A157)/5,0))</f>
        <v>April-25</v>
      </c>
      <c r="C158" s="56" t="str">
        <f aca="1">INDEX(Raw_GI_Council!$D$1:$H$1,1,MOD(ROW(A157)-1,5)+1)</f>
        <v>Marine_Total</v>
      </c>
      <c r="D158" s="90">
        <f aca="1">IF(INDEX(Raw_GI_Council!$D$2:$H$100,ROUNDUP(ROW(A157)/5,0),MOD(ROW(A157)-1,5)+1)="-",0,INDEX(Raw_GI_Council!$D$2:$H$100,ROUNDUP(ROW(A157)/5,0),MOD(ROW(A157)-1,5)+1))</f>
        <v>10.2599999999999998</v>
      </c>
      <c r="E158" s="56" t="str">
        <f>"GI Council"</f>
        <v>GI Council</v>
      </c>
    </row>
    <row r="159" spans="1:5">
      <c r="A159" s="56" t="str">
        <f aca="1">INDEX(Raw_GI_Council!$B$2:$B$100,ROUNDUP(ROW(A158)/5,0))</f>
        <v>Royal Sundaram General Insurance Co Ltd</v>
      </c>
      <c r="B159" s="56" t="str">
        <f aca="1">INDEX(Raw_GI_Council!$C$2:$C$100,ROUNDUP(ROW(A158)/5,0))</f>
        <v>April-25</v>
      </c>
      <c r="C159" s="56" t="str">
        <f aca="1">INDEX(Raw_GI_Council!$D$1:$H$1,1,MOD(ROW(A158)-1,5)+1)</f>
        <v>Motor_Total</v>
      </c>
      <c r="D159" s="90">
        <f aca="1">IF(INDEX(Raw_GI_Council!$D$2:$H$100,ROUNDUP(ROW(A158)/5,0),MOD(ROW(A158)-1,5)+1)="-",0,INDEX(Raw_GI_Council!$D$2:$H$100,ROUNDUP(ROW(A158)/5,0),MOD(ROW(A158)-1,5)+1))</f>
        <v>178.800000000000011</v>
      </c>
      <c r="E159" s="56" t="str">
        <f>"GI Council"</f>
        <v>GI Council</v>
      </c>
    </row>
    <row r="160" spans="1:5">
      <c r="A160" s="56" t="str">
        <f aca="1">INDEX(Raw_GI_Council!$B$2:$B$100,ROUNDUP(ROW(A159)/5,0))</f>
        <v>Royal Sundaram General Insurance Co Ltd</v>
      </c>
      <c r="B160" s="56" t="str">
        <f aca="1">INDEX(Raw_GI_Council!$C$2:$C$100,ROUNDUP(ROW(A159)/5,0))</f>
        <v>April-25</v>
      </c>
      <c r="C160" s="56" t="str">
        <f aca="1">INDEX(Raw_GI_Council!$D$1:$H$1,1,MOD(ROW(A159)-1,5)+1)</f>
        <v>Health</v>
      </c>
      <c r="D160" s="90">
        <f aca="1">IF(INDEX(Raw_GI_Council!$D$2:$H$100,ROUNDUP(ROW(A159)/5,0),MOD(ROW(A159)-1,5)+1)="-",0,INDEX(Raw_GI_Council!$D$2:$H$100,ROUNDUP(ROW(A159)/5,0),MOD(ROW(A159)-1,5)+1))</f>
        <v>221.409999999999997</v>
      </c>
      <c r="E160" s="56" t="str">
        <f>"GI Council"</f>
        <v>GI Council</v>
      </c>
    </row>
    <row r="161" spans="1:5">
      <c r="A161" s="56" t="str">
        <f aca="1">INDEX(Raw_GI_Council!$B$2:$B$100,ROUNDUP(ROW(A160)/5,0))</f>
        <v>Royal Sundaram General Insurance Co Ltd</v>
      </c>
      <c r="B161" s="56" t="str">
        <f aca="1">INDEX(Raw_GI_Council!$C$2:$C$100,ROUNDUP(ROW(A160)/5,0))</f>
        <v>April-25</v>
      </c>
      <c r="C161" s="56" t="str">
        <f aca="1">INDEX(Raw_GI_Council!$D$1:$H$1,1,MOD(ROW(A160)-1,5)+1)</f>
        <v>Grand_Total</v>
      </c>
      <c r="D161" s="90">
        <f aca="1">IF(INDEX(Raw_GI_Council!$D$2:$H$100,ROUNDUP(ROW(A160)/5,0),MOD(ROW(A160)-1,5)+1)="-",0,INDEX(Raw_GI_Council!$D$2:$H$100,ROUNDUP(ROW(A160)/5,0),MOD(ROW(A160)-1,5)+1))</f>
        <v>520.279999999999973</v>
      </c>
      <c r="E161" s="56" t="str">
        <f>"GI Council"</f>
        <v>GI Council</v>
      </c>
    </row>
    <row r="162" spans="1:5">
      <c r="A162" s="56" t="str">
        <f aca="1">INDEX(Raw_GI_Council!$B$2:$B$100,ROUNDUP(ROW(A161)/5,0))</f>
        <v>SBI General Insurance Co Ltd</v>
      </c>
      <c r="B162" s="56" t="str">
        <f aca="1">INDEX(Raw_GI_Council!$C$2:$C$100,ROUNDUP(ROW(A161)/5,0))</f>
        <v>April-26</v>
      </c>
      <c r="C162" s="56" t="str">
        <f aca="1">INDEX(Raw_GI_Council!$D$1:$H$1,1,MOD(ROW(A161)-1,5)+1)</f>
        <v>Fire</v>
      </c>
      <c r="D162" s="90">
        <f aca="1">IF(INDEX(Raw_GI_Council!$D$2:$H$100,ROUNDUP(ROW(A161)/5,0),MOD(ROW(A161)-1,5)+1)="-",0,INDEX(Raw_GI_Council!$D$2:$H$100,ROUNDUP(ROW(A161)/5,0),MOD(ROW(A161)-1,5)+1))</f>
        <v>180.849999999999994</v>
      </c>
      <c r="E162" s="56" t="str">
        <f>"GI Council"</f>
        <v>GI Council</v>
      </c>
    </row>
    <row r="163" spans="1:5">
      <c r="A163" s="56" t="str">
        <f aca="1">INDEX(Raw_GI_Council!$B$2:$B$100,ROUNDUP(ROW(A162)/5,0))</f>
        <v>SBI General Insurance Co Ltd</v>
      </c>
      <c r="B163" s="56" t="str">
        <f aca="1">INDEX(Raw_GI_Council!$C$2:$C$100,ROUNDUP(ROW(A162)/5,0))</f>
        <v>April-26</v>
      </c>
      <c r="C163" s="56" t="str">
        <f aca="1">INDEX(Raw_GI_Council!$D$1:$H$1,1,MOD(ROW(A162)-1,5)+1)</f>
        <v>Marine_Total</v>
      </c>
      <c r="D163" s="90">
        <f aca="1">IF(INDEX(Raw_GI_Council!$D$2:$H$100,ROUNDUP(ROW(A162)/5,0),MOD(ROW(A162)-1,5)+1)="-",0,INDEX(Raw_GI_Council!$D$2:$H$100,ROUNDUP(ROW(A162)/5,0),MOD(ROW(A162)-1,5)+1))</f>
        <v>24.8500000000000014</v>
      </c>
      <c r="E163" s="56" t="str">
        <f>"GI Council"</f>
        <v>GI Council</v>
      </c>
    </row>
    <row r="164" spans="1:5">
      <c r="A164" s="56" t="str">
        <f aca="1">INDEX(Raw_GI_Council!$B$2:$B$100,ROUNDUP(ROW(A163)/5,0))</f>
        <v>SBI General Insurance Co Ltd</v>
      </c>
      <c r="B164" s="56" t="str">
        <f aca="1">INDEX(Raw_GI_Council!$C$2:$C$100,ROUNDUP(ROW(A163)/5,0))</f>
        <v>April-26</v>
      </c>
      <c r="C164" s="56" t="str">
        <f aca="1">INDEX(Raw_GI_Council!$D$1:$H$1,1,MOD(ROW(A163)-1,5)+1)</f>
        <v>Motor_Total</v>
      </c>
      <c r="D164" s="90">
        <f aca="1">IF(INDEX(Raw_GI_Council!$D$2:$H$100,ROUNDUP(ROW(A163)/5,0),MOD(ROW(A163)-1,5)+1)="-",0,INDEX(Raw_GI_Council!$D$2:$H$100,ROUNDUP(ROW(A163)/5,0),MOD(ROW(A163)-1,5)+1))</f>
        <v>397.509999999999991</v>
      </c>
      <c r="E164" s="56" t="str">
        <f>"GI Council"</f>
        <v>GI Council</v>
      </c>
    </row>
    <row r="165" spans="1:5">
      <c r="A165" s="56" t="str">
        <f aca="1">INDEX(Raw_GI_Council!$B$2:$B$100,ROUNDUP(ROW(A164)/5,0))</f>
        <v>SBI General Insurance Co Ltd</v>
      </c>
      <c r="B165" s="56" t="str">
        <f aca="1">INDEX(Raw_GI_Council!$C$2:$C$100,ROUNDUP(ROW(A164)/5,0))</f>
        <v>April-26</v>
      </c>
      <c r="C165" s="56" t="str">
        <f aca="1">INDEX(Raw_GI_Council!$D$1:$H$1,1,MOD(ROW(A164)-1,5)+1)</f>
        <v>Health</v>
      </c>
      <c r="D165" s="90">
        <f aca="1">IF(INDEX(Raw_GI_Council!$D$2:$H$100,ROUNDUP(ROW(A164)/5,0),MOD(ROW(A164)-1,5)+1)="-",0,INDEX(Raw_GI_Council!$D$2:$H$100,ROUNDUP(ROW(A164)/5,0),MOD(ROW(A164)-1,5)+1))</f>
        <v>512.129999999999995</v>
      </c>
      <c r="E165" s="56" t="str">
        <f>"GI Council"</f>
        <v>GI Council</v>
      </c>
    </row>
    <row r="166" spans="1:5">
      <c r="A166" s="56" t="str">
        <f aca="1">INDEX(Raw_GI_Council!$B$2:$B$100,ROUNDUP(ROW(A165)/5,0))</f>
        <v>SBI General Insurance Co Ltd</v>
      </c>
      <c r="B166" s="56" t="str">
        <f aca="1">INDEX(Raw_GI_Council!$C$2:$C$100,ROUNDUP(ROW(A165)/5,0))</f>
        <v>April-26</v>
      </c>
      <c r="C166" s="56" t="str">
        <f aca="1">INDEX(Raw_GI_Council!$D$1:$H$1,1,MOD(ROW(A165)-1,5)+1)</f>
        <v>Grand_Total</v>
      </c>
      <c r="D166" s="90">
        <f aca="1">IF(INDEX(Raw_GI_Council!$D$2:$H$100,ROUNDUP(ROW(A165)/5,0),MOD(ROW(A165)-1,5)+1)="-",0,INDEX(Raw_GI_Council!$D$2:$H$100,ROUNDUP(ROW(A165)/5,0),MOD(ROW(A165)-1,5)+1))</f>
        <v>1299.52999999999997</v>
      </c>
      <c r="E166" s="56" t="str">
        <f>"GI Council"</f>
        <v>GI Council</v>
      </c>
    </row>
    <row r="167" spans="1:5">
      <c r="A167" s="56" t="str">
        <f aca="1">INDEX(Raw_GI_Council!$B$2:$B$100,ROUNDUP(ROW(A166)/5,0))</f>
        <v>SBI General Insurance Co Ltd</v>
      </c>
      <c r="B167" s="56" t="str">
        <f aca="1">INDEX(Raw_GI_Council!$C$2:$C$100,ROUNDUP(ROW(A166)/5,0))</f>
        <v>April-25</v>
      </c>
      <c r="C167" s="56" t="str">
        <f aca="1">INDEX(Raw_GI_Council!$D$1:$H$1,1,MOD(ROW(A166)-1,5)+1)</f>
        <v>Fire</v>
      </c>
      <c r="D167" s="90">
        <f aca="1">IF(INDEX(Raw_GI_Council!$D$2:$H$100,ROUNDUP(ROW(A166)/5,0),MOD(ROW(A166)-1,5)+1)="-",0,INDEX(Raw_GI_Council!$D$2:$H$100,ROUNDUP(ROW(A166)/5,0),MOD(ROW(A166)-1,5)+1))</f>
        <v>320.759999999999991</v>
      </c>
      <c r="E167" s="56" t="str">
        <f>"GI Council"</f>
        <v>GI Council</v>
      </c>
    </row>
    <row r="168" spans="1:5">
      <c r="A168" s="56" t="str">
        <f aca="1">INDEX(Raw_GI_Council!$B$2:$B$100,ROUNDUP(ROW(A167)/5,0))</f>
        <v>SBI General Insurance Co Ltd</v>
      </c>
      <c r="B168" s="56" t="str">
        <f aca="1">INDEX(Raw_GI_Council!$C$2:$C$100,ROUNDUP(ROW(A167)/5,0))</f>
        <v>April-25</v>
      </c>
      <c r="C168" s="56" t="str">
        <f aca="1">INDEX(Raw_GI_Council!$D$1:$H$1,1,MOD(ROW(A167)-1,5)+1)</f>
        <v>Marine_Total</v>
      </c>
      <c r="D168" s="90">
        <f aca="1">IF(INDEX(Raw_GI_Council!$D$2:$H$100,ROUNDUP(ROW(A167)/5,0),MOD(ROW(A167)-1,5)+1)="-",0,INDEX(Raw_GI_Council!$D$2:$H$100,ROUNDUP(ROW(A167)/5,0),MOD(ROW(A167)-1,5)+1))</f>
        <v>18.620000000000001</v>
      </c>
      <c r="E168" s="56" t="str">
        <f>"GI Council"</f>
        <v>GI Council</v>
      </c>
    </row>
    <row r="169" spans="1:5">
      <c r="A169" s="56" t="str">
        <f aca="1">INDEX(Raw_GI_Council!$B$2:$B$100,ROUNDUP(ROW(A168)/5,0))</f>
        <v>SBI General Insurance Co Ltd</v>
      </c>
      <c r="B169" s="56" t="str">
        <f aca="1">INDEX(Raw_GI_Council!$C$2:$C$100,ROUNDUP(ROW(A168)/5,0))</f>
        <v>April-25</v>
      </c>
      <c r="C169" s="56" t="str">
        <f aca="1">INDEX(Raw_GI_Council!$D$1:$H$1,1,MOD(ROW(A168)-1,5)+1)</f>
        <v>Motor_Total</v>
      </c>
      <c r="D169" s="90">
        <f aca="1">IF(INDEX(Raw_GI_Council!$D$2:$H$100,ROUNDUP(ROW(A168)/5,0),MOD(ROW(A168)-1,5)+1)="-",0,INDEX(Raw_GI_Council!$D$2:$H$100,ROUNDUP(ROW(A168)/5,0),MOD(ROW(A168)-1,5)+1))</f>
        <v>387.740000000000009</v>
      </c>
      <c r="E169" s="56" t="str">
        <f>"GI Council"</f>
        <v>GI Council</v>
      </c>
    </row>
    <row r="170" spans="1:5">
      <c r="A170" s="56" t="str">
        <f aca="1">INDEX(Raw_GI_Council!$B$2:$B$100,ROUNDUP(ROW(A169)/5,0))</f>
        <v>SBI General Insurance Co Ltd</v>
      </c>
      <c r="B170" s="56" t="str">
        <f aca="1">INDEX(Raw_GI_Council!$C$2:$C$100,ROUNDUP(ROW(A169)/5,0))</f>
        <v>April-25</v>
      </c>
      <c r="C170" s="56" t="str">
        <f aca="1">INDEX(Raw_GI_Council!$D$1:$H$1,1,MOD(ROW(A169)-1,5)+1)</f>
        <v>Health</v>
      </c>
      <c r="D170" s="90">
        <f aca="1">IF(INDEX(Raw_GI_Council!$D$2:$H$100,ROUNDUP(ROW(A169)/5,0),MOD(ROW(A169)-1,5)+1)="-",0,INDEX(Raw_GI_Council!$D$2:$H$100,ROUNDUP(ROW(A169)/5,0),MOD(ROW(A169)-1,5)+1))</f>
        <v>444.949999999999989</v>
      </c>
      <c r="E170" s="56" t="str">
        <f>"GI Council"</f>
        <v>GI Council</v>
      </c>
    </row>
    <row r="171" spans="1:5">
      <c r="A171" s="56" t="str">
        <f aca="1">INDEX(Raw_GI_Council!$B$2:$B$100,ROUNDUP(ROW(A170)/5,0))</f>
        <v>SBI General Insurance Co Ltd</v>
      </c>
      <c r="B171" s="56" t="str">
        <f aca="1">INDEX(Raw_GI_Council!$C$2:$C$100,ROUNDUP(ROW(A170)/5,0))</f>
        <v>April-25</v>
      </c>
      <c r="C171" s="56" t="str">
        <f aca="1">INDEX(Raw_GI_Council!$D$1:$H$1,1,MOD(ROW(A170)-1,5)+1)</f>
        <v>Grand_Total</v>
      </c>
      <c r="D171" s="90">
        <f aca="1">IF(INDEX(Raw_GI_Council!$D$2:$H$100,ROUNDUP(ROW(A170)/5,0),MOD(ROW(A170)-1,5)+1)="-",0,INDEX(Raw_GI_Council!$D$2:$H$100,ROUNDUP(ROW(A170)/5,0),MOD(ROW(A170)-1,5)+1))</f>
        <v>1290.54999999999995</v>
      </c>
      <c r="E171" s="56" t="str">
        <f>"GI Council"</f>
        <v>GI Council</v>
      </c>
    </row>
    <row r="172" spans="1:5">
      <c r="A172" s="56" t="str">
        <f aca="1">INDEX(Raw_GI_Council!$B$2:$B$100,ROUNDUP(ROW(A171)/5,0))</f>
        <v>Shriram General Insurance Co Ltd</v>
      </c>
      <c r="B172" s="56" t="str">
        <f aca="1">INDEX(Raw_GI_Council!$C$2:$C$100,ROUNDUP(ROW(A171)/5,0))</f>
        <v>April-26</v>
      </c>
      <c r="C172" s="56" t="str">
        <f aca="1">INDEX(Raw_GI_Council!$D$1:$H$1,1,MOD(ROW(A171)-1,5)+1)</f>
        <v>Fire</v>
      </c>
      <c r="D172" s="90">
        <f aca="1">IF(INDEX(Raw_GI_Council!$D$2:$H$100,ROUNDUP(ROW(A171)/5,0),MOD(ROW(A171)-1,5)+1)="-",0,INDEX(Raw_GI_Council!$D$2:$H$100,ROUNDUP(ROW(A171)/5,0),MOD(ROW(A171)-1,5)+1))</f>
        <v>6.88999999999999968</v>
      </c>
      <c r="E172" s="56" t="str">
        <f>"GI Council"</f>
        <v>GI Council</v>
      </c>
    </row>
    <row r="173" spans="1:5">
      <c r="A173" s="56" t="str">
        <f aca="1">INDEX(Raw_GI_Council!$B$2:$B$100,ROUNDUP(ROW(A172)/5,0))</f>
        <v>Shriram General Insurance Co Ltd</v>
      </c>
      <c r="B173" s="56" t="str">
        <f aca="1">INDEX(Raw_GI_Council!$C$2:$C$100,ROUNDUP(ROW(A172)/5,0))</f>
        <v>April-26</v>
      </c>
      <c r="C173" s="56" t="str">
        <f aca="1">INDEX(Raw_GI_Council!$D$1:$H$1,1,MOD(ROW(A172)-1,5)+1)</f>
        <v>Marine_Total</v>
      </c>
      <c r="D173" s="90">
        <f aca="1">IF(INDEX(Raw_GI_Council!$D$2:$H$100,ROUNDUP(ROW(A172)/5,0),MOD(ROW(A172)-1,5)+1)="-",0,INDEX(Raw_GI_Council!$D$2:$H$100,ROUNDUP(ROW(A172)/5,0),MOD(ROW(A172)-1,5)+1))</f>
        <v>0.729999999999999982</v>
      </c>
      <c r="E173" s="56" t="str">
        <f>"GI Council"</f>
        <v>GI Council</v>
      </c>
    </row>
    <row r="174" spans="1:5">
      <c r="A174" s="56" t="str">
        <f aca="1">INDEX(Raw_GI_Council!$B$2:$B$100,ROUNDUP(ROW(A173)/5,0))</f>
        <v>Shriram General Insurance Co Ltd</v>
      </c>
      <c r="B174" s="56" t="str">
        <f aca="1">INDEX(Raw_GI_Council!$C$2:$C$100,ROUNDUP(ROW(A173)/5,0))</f>
        <v>April-26</v>
      </c>
      <c r="C174" s="56" t="str">
        <f aca="1">INDEX(Raw_GI_Council!$D$1:$H$1,1,MOD(ROW(A173)-1,5)+1)</f>
        <v>Motor_Total</v>
      </c>
      <c r="D174" s="90">
        <f aca="1">IF(INDEX(Raw_GI_Council!$D$2:$H$100,ROUNDUP(ROW(A173)/5,0),MOD(ROW(A173)-1,5)+1)="-",0,INDEX(Raw_GI_Council!$D$2:$H$100,ROUNDUP(ROW(A173)/5,0),MOD(ROW(A173)-1,5)+1))</f>
        <v>325.139999999999986</v>
      </c>
      <c r="E174" s="56" t="str">
        <f>"GI Council"</f>
        <v>GI Council</v>
      </c>
    </row>
    <row r="175" spans="1:5">
      <c r="A175" s="56" t="str">
        <f aca="1">INDEX(Raw_GI_Council!$B$2:$B$100,ROUNDUP(ROW(A174)/5,0))</f>
        <v>Shriram General Insurance Co Ltd</v>
      </c>
      <c r="B175" s="56" t="str">
        <f aca="1">INDEX(Raw_GI_Council!$C$2:$C$100,ROUNDUP(ROW(A174)/5,0))</f>
        <v>April-26</v>
      </c>
      <c r="C175" s="56" t="str">
        <f aca="1">INDEX(Raw_GI_Council!$D$1:$H$1,1,MOD(ROW(A174)-1,5)+1)</f>
        <v>Health</v>
      </c>
      <c r="D175" s="90">
        <f aca="1">IF(INDEX(Raw_GI_Council!$D$2:$H$100,ROUNDUP(ROW(A174)/5,0),MOD(ROW(A174)-1,5)+1)="-",0,INDEX(Raw_GI_Council!$D$2:$H$100,ROUNDUP(ROW(A174)/5,0),MOD(ROW(A174)-1,5)+1))</f>
        <v>4.42999999999999972</v>
      </c>
      <c r="E175" s="56" t="str">
        <f>"GI Council"</f>
        <v>GI Council</v>
      </c>
    </row>
    <row r="176" spans="1:5">
      <c r="A176" s="56" t="str">
        <f aca="1">INDEX(Raw_GI_Council!$B$2:$B$100,ROUNDUP(ROW(A175)/5,0))</f>
        <v>Shriram General Insurance Co Ltd</v>
      </c>
      <c r="B176" s="56" t="str">
        <f aca="1">INDEX(Raw_GI_Council!$C$2:$C$100,ROUNDUP(ROW(A175)/5,0))</f>
        <v>April-26</v>
      </c>
      <c r="C176" s="56" t="str">
        <f aca="1">INDEX(Raw_GI_Council!$D$1:$H$1,1,MOD(ROW(A175)-1,5)+1)</f>
        <v>Grand_Total</v>
      </c>
      <c r="D176" s="90">
        <f aca="1">IF(INDEX(Raw_GI_Council!$D$2:$H$100,ROUNDUP(ROW(A175)/5,0),MOD(ROW(A175)-1,5)+1)="-",0,INDEX(Raw_GI_Council!$D$2:$H$100,ROUNDUP(ROW(A175)/5,0),MOD(ROW(A175)-1,5)+1))</f>
        <v>361.54000000000002</v>
      </c>
      <c r="E176" s="56" t="str">
        <f>"GI Council"</f>
        <v>GI Council</v>
      </c>
    </row>
    <row r="177" spans="1:5">
      <c r="A177" s="56" t="str">
        <f aca="1">INDEX(Raw_GI_Council!$B$2:$B$100,ROUNDUP(ROW(A176)/5,0))</f>
        <v>Shriram General Insurance Co Ltd</v>
      </c>
      <c r="B177" s="56" t="str">
        <f aca="1">INDEX(Raw_GI_Council!$C$2:$C$100,ROUNDUP(ROW(A176)/5,0))</f>
        <v>April-25</v>
      </c>
      <c r="C177" s="56" t="str">
        <f aca="1">INDEX(Raw_GI_Council!$D$1:$H$1,1,MOD(ROW(A176)-1,5)+1)</f>
        <v>Fire</v>
      </c>
      <c r="D177" s="90">
        <f aca="1">IF(INDEX(Raw_GI_Council!$D$2:$H$100,ROUNDUP(ROW(A176)/5,0),MOD(ROW(A176)-1,5)+1)="-",0,INDEX(Raw_GI_Council!$D$2:$H$100,ROUNDUP(ROW(A176)/5,0),MOD(ROW(A176)-1,5)+1))</f>
        <v>13.9000000000000004</v>
      </c>
      <c r="E177" s="56" t="str">
        <f>"GI Council"</f>
        <v>GI Council</v>
      </c>
    </row>
    <row r="178" spans="1:5">
      <c r="A178" s="56" t="str">
        <f aca="1">INDEX(Raw_GI_Council!$B$2:$B$100,ROUNDUP(ROW(A177)/5,0))</f>
        <v>Shriram General Insurance Co Ltd</v>
      </c>
      <c r="B178" s="56" t="str">
        <f aca="1">INDEX(Raw_GI_Council!$C$2:$C$100,ROUNDUP(ROW(A177)/5,0))</f>
        <v>April-25</v>
      </c>
      <c r="C178" s="56" t="str">
        <f aca="1">INDEX(Raw_GI_Council!$D$1:$H$1,1,MOD(ROW(A177)-1,5)+1)</f>
        <v>Marine_Total</v>
      </c>
      <c r="D178" s="90">
        <f aca="1">IF(INDEX(Raw_GI_Council!$D$2:$H$100,ROUNDUP(ROW(A177)/5,0),MOD(ROW(A177)-1,5)+1)="-",0,INDEX(Raw_GI_Council!$D$2:$H$100,ROUNDUP(ROW(A177)/5,0),MOD(ROW(A177)-1,5)+1))</f>
        <v>0.29</v>
      </c>
      <c r="E178" s="56" t="str">
        <f>"GI Council"</f>
        <v>GI Council</v>
      </c>
    </row>
    <row r="179" spans="1:5">
      <c r="A179" s="56" t="str">
        <f aca="1">INDEX(Raw_GI_Council!$B$2:$B$100,ROUNDUP(ROW(A178)/5,0))</f>
        <v>Shriram General Insurance Co Ltd</v>
      </c>
      <c r="B179" s="56" t="str">
        <f aca="1">INDEX(Raw_GI_Council!$C$2:$C$100,ROUNDUP(ROW(A178)/5,0))</f>
        <v>April-25</v>
      </c>
      <c r="C179" s="56" t="str">
        <f aca="1">INDEX(Raw_GI_Council!$D$1:$H$1,1,MOD(ROW(A178)-1,5)+1)</f>
        <v>Motor_Total</v>
      </c>
      <c r="D179" s="90">
        <f aca="1">IF(INDEX(Raw_GI_Council!$D$2:$H$100,ROUNDUP(ROW(A178)/5,0),MOD(ROW(A178)-1,5)+1)="-",0,INDEX(Raw_GI_Council!$D$2:$H$100,ROUNDUP(ROW(A178)/5,0),MOD(ROW(A178)-1,5)+1))</f>
        <v>258.620000000000005</v>
      </c>
      <c r="E179" s="56" t="str">
        <f>"GI Council"</f>
        <v>GI Council</v>
      </c>
    </row>
    <row r="180" spans="1:5">
      <c r="A180" s="56" t="str">
        <f aca="1">INDEX(Raw_GI_Council!$B$2:$B$100,ROUNDUP(ROW(A179)/5,0))</f>
        <v>Shriram General Insurance Co Ltd</v>
      </c>
      <c r="B180" s="56" t="str">
        <f aca="1">INDEX(Raw_GI_Council!$C$2:$C$100,ROUNDUP(ROW(A179)/5,0))</f>
        <v>April-25</v>
      </c>
      <c r="C180" s="56" t="str">
        <f aca="1">INDEX(Raw_GI_Council!$D$1:$H$1,1,MOD(ROW(A179)-1,5)+1)</f>
        <v>Health</v>
      </c>
      <c r="D180" s="90">
        <f aca="1">IF(INDEX(Raw_GI_Council!$D$2:$H$100,ROUNDUP(ROW(A179)/5,0),MOD(ROW(A179)-1,5)+1)="-",0,INDEX(Raw_GI_Council!$D$2:$H$100,ROUNDUP(ROW(A179)/5,0),MOD(ROW(A179)-1,5)+1))</f>
        <v>0.540000000000000036</v>
      </c>
      <c r="E180" s="56" t="str">
        <f>"GI Council"</f>
        <v>GI Council</v>
      </c>
    </row>
    <row r="181" spans="1:5">
      <c r="A181" s="56" t="str">
        <f aca="1">INDEX(Raw_GI_Council!$B$2:$B$100,ROUNDUP(ROW(A180)/5,0))</f>
        <v>Shriram General Insurance Co Ltd</v>
      </c>
      <c r="B181" s="56" t="str">
        <f aca="1">INDEX(Raw_GI_Council!$C$2:$C$100,ROUNDUP(ROW(A180)/5,0))</f>
        <v>April-25</v>
      </c>
      <c r="C181" s="56" t="str">
        <f aca="1">INDEX(Raw_GI_Council!$D$1:$H$1,1,MOD(ROW(A180)-1,5)+1)</f>
        <v>Grand_Total</v>
      </c>
      <c r="D181" s="90">
        <f aca="1">IF(INDEX(Raw_GI_Council!$D$2:$H$100,ROUNDUP(ROW(A180)/5,0),MOD(ROW(A180)-1,5)+1)="-",0,INDEX(Raw_GI_Council!$D$2:$H$100,ROUNDUP(ROW(A180)/5,0),MOD(ROW(A180)-1,5)+1))</f>
        <v>290.389999999999986</v>
      </c>
      <c r="E181" s="56" t="str">
        <f>"GI Council"</f>
        <v>GI Council</v>
      </c>
    </row>
    <row r="182" spans="1:5">
      <c r="A182" s="56" t="str">
        <f aca="1">INDEX(Raw_GI_Council!$B$2:$B$100,ROUNDUP(ROW(A181)/5,0))</f>
        <v>Tata AIG General Insurance Co Ltd</v>
      </c>
      <c r="B182" s="56" t="str">
        <f aca="1">INDEX(Raw_GI_Council!$C$2:$C$100,ROUNDUP(ROW(A181)/5,0))</f>
        <v>April-26</v>
      </c>
      <c r="C182" s="56" t="str">
        <f aca="1">INDEX(Raw_GI_Council!$D$1:$H$1,1,MOD(ROW(A181)-1,5)+1)</f>
        <v>Fire</v>
      </c>
      <c r="D182" s="90">
        <f aca="1">IF(INDEX(Raw_GI_Council!$D$2:$H$100,ROUNDUP(ROW(A181)/5,0),MOD(ROW(A181)-1,5)+1)="-",0,INDEX(Raw_GI_Council!$D$2:$H$100,ROUNDUP(ROW(A181)/5,0),MOD(ROW(A181)-1,5)+1))</f>
        <v>414</v>
      </c>
      <c r="E182" s="56" t="str">
        <f>"GI Council"</f>
        <v>GI Council</v>
      </c>
    </row>
    <row r="183" spans="1:5">
      <c r="A183" s="56" t="str">
        <f aca="1">INDEX(Raw_GI_Council!$B$2:$B$100,ROUNDUP(ROW(A182)/5,0))</f>
        <v>Tata AIG General Insurance Co Ltd</v>
      </c>
      <c r="B183" s="56" t="str">
        <f aca="1">INDEX(Raw_GI_Council!$C$2:$C$100,ROUNDUP(ROW(A182)/5,0))</f>
        <v>April-26</v>
      </c>
      <c r="C183" s="56" t="str">
        <f aca="1">INDEX(Raw_GI_Council!$D$1:$H$1,1,MOD(ROW(A182)-1,5)+1)</f>
        <v>Marine_Total</v>
      </c>
      <c r="D183" s="90">
        <f aca="1">IF(INDEX(Raw_GI_Council!$D$2:$H$100,ROUNDUP(ROW(A182)/5,0),MOD(ROW(A182)-1,5)+1)="-",0,INDEX(Raw_GI_Council!$D$2:$H$100,ROUNDUP(ROW(A182)/5,0),MOD(ROW(A182)-1,5)+1))</f>
        <v>134.840000000000003</v>
      </c>
      <c r="E183" s="56" t="str">
        <f>"GI Council"</f>
        <v>GI Council</v>
      </c>
    </row>
    <row r="184" spans="1:5">
      <c r="A184" s="56" t="str">
        <f aca="1">INDEX(Raw_GI_Council!$B$2:$B$100,ROUNDUP(ROW(A183)/5,0))</f>
        <v>Tata AIG General Insurance Co Ltd</v>
      </c>
      <c r="B184" s="56" t="str">
        <f aca="1">INDEX(Raw_GI_Council!$C$2:$C$100,ROUNDUP(ROW(A183)/5,0))</f>
        <v>April-26</v>
      </c>
      <c r="C184" s="56" t="str">
        <f aca="1">INDEX(Raw_GI_Council!$D$1:$H$1,1,MOD(ROW(A183)-1,5)+1)</f>
        <v>Motor_Total</v>
      </c>
      <c r="D184" s="90">
        <f aca="1">IF(INDEX(Raw_GI_Council!$D$2:$H$100,ROUNDUP(ROW(A183)/5,0),MOD(ROW(A183)-1,5)+1)="-",0,INDEX(Raw_GI_Council!$D$2:$H$100,ROUNDUP(ROW(A183)/5,0),MOD(ROW(A183)-1,5)+1))</f>
        <v>873.330000000000041</v>
      </c>
      <c r="E184" s="56" t="str">
        <f>"GI Council"</f>
        <v>GI Council</v>
      </c>
    </row>
    <row r="185" spans="1:5">
      <c r="A185" s="56" t="str">
        <f aca="1">INDEX(Raw_GI_Council!$B$2:$B$100,ROUNDUP(ROW(A184)/5,0))</f>
        <v>Tata AIG General Insurance Co Ltd</v>
      </c>
      <c r="B185" s="56" t="str">
        <f aca="1">INDEX(Raw_GI_Council!$C$2:$C$100,ROUNDUP(ROW(A184)/5,0))</f>
        <v>April-26</v>
      </c>
      <c r="C185" s="56" t="str">
        <f aca="1">INDEX(Raw_GI_Council!$D$1:$H$1,1,MOD(ROW(A184)-1,5)+1)</f>
        <v>Health</v>
      </c>
      <c r="D185" s="90">
        <f aca="1">IF(INDEX(Raw_GI_Council!$D$2:$H$100,ROUNDUP(ROW(A184)/5,0),MOD(ROW(A184)-1,5)+1)="-",0,INDEX(Raw_GI_Council!$D$2:$H$100,ROUNDUP(ROW(A184)/5,0),MOD(ROW(A184)-1,5)+1))</f>
        <v>988.610000000000014</v>
      </c>
      <c r="E185" s="56" t="str">
        <f>"GI Council"</f>
        <v>GI Council</v>
      </c>
    </row>
    <row r="186" spans="1:5">
      <c r="A186" s="56" t="str">
        <f aca="1">INDEX(Raw_GI_Council!$B$2:$B$100,ROUNDUP(ROW(A185)/5,0))</f>
        <v>Tata AIG General Insurance Co Ltd</v>
      </c>
      <c r="B186" s="56" t="str">
        <f aca="1">INDEX(Raw_GI_Council!$C$2:$C$100,ROUNDUP(ROW(A185)/5,0))</f>
        <v>April-26</v>
      </c>
      <c r="C186" s="56" t="str">
        <f aca="1">INDEX(Raw_GI_Council!$D$1:$H$1,1,MOD(ROW(A185)-1,5)+1)</f>
        <v>Grand_Total</v>
      </c>
      <c r="D186" s="90">
        <f aca="1">IF(INDEX(Raw_GI_Council!$D$2:$H$100,ROUNDUP(ROW(A185)/5,0),MOD(ROW(A185)-1,5)+1)="-",0,INDEX(Raw_GI_Council!$D$2:$H$100,ROUNDUP(ROW(A185)/5,0),MOD(ROW(A185)-1,5)+1))</f>
        <v>2845.40999999999985</v>
      </c>
      <c r="E186" s="56" t="str">
        <f>"GI Council"</f>
        <v>GI Council</v>
      </c>
    </row>
    <row r="187" spans="1:5">
      <c r="A187" s="56" t="str">
        <f aca="1">INDEX(Raw_GI_Council!$B$2:$B$100,ROUNDUP(ROW(A186)/5,0))</f>
        <v>Tata AIG General Insurance Co Ltd</v>
      </c>
      <c r="B187" s="56" t="str">
        <f aca="1">INDEX(Raw_GI_Council!$C$2:$C$100,ROUNDUP(ROW(A186)/5,0))</f>
        <v>April-25</v>
      </c>
      <c r="C187" s="56" t="str">
        <f aca="1">INDEX(Raw_GI_Council!$D$1:$H$1,1,MOD(ROW(A186)-1,5)+1)</f>
        <v>Fire</v>
      </c>
      <c r="D187" s="90">
        <f aca="1">IF(INDEX(Raw_GI_Council!$D$2:$H$100,ROUNDUP(ROW(A186)/5,0),MOD(ROW(A186)-1,5)+1)="-",0,INDEX(Raw_GI_Council!$D$2:$H$100,ROUNDUP(ROW(A186)/5,0),MOD(ROW(A186)-1,5)+1))</f>
        <v>444.170000000000016</v>
      </c>
      <c r="E187" s="56" t="str">
        <f>"GI Council"</f>
        <v>GI Council</v>
      </c>
    </row>
    <row r="188" spans="1:5">
      <c r="A188" s="56" t="str">
        <f aca="1">INDEX(Raw_GI_Council!$B$2:$B$100,ROUNDUP(ROW(A187)/5,0))</f>
        <v>Tata AIG General Insurance Co Ltd</v>
      </c>
      <c r="B188" s="56" t="str">
        <f aca="1">INDEX(Raw_GI_Council!$C$2:$C$100,ROUNDUP(ROW(A187)/5,0))</f>
        <v>April-25</v>
      </c>
      <c r="C188" s="56" t="str">
        <f aca="1">INDEX(Raw_GI_Council!$D$1:$H$1,1,MOD(ROW(A187)-1,5)+1)</f>
        <v>Marine_Total</v>
      </c>
      <c r="D188" s="90">
        <f aca="1">IF(INDEX(Raw_GI_Council!$D$2:$H$100,ROUNDUP(ROW(A187)/5,0),MOD(ROW(A187)-1,5)+1)="-",0,INDEX(Raw_GI_Council!$D$2:$H$100,ROUNDUP(ROW(A187)/5,0),MOD(ROW(A187)-1,5)+1))</f>
        <v>120.090000000000003</v>
      </c>
      <c r="E188" s="56" t="str">
        <f>"GI Council"</f>
        <v>GI Council</v>
      </c>
    </row>
    <row r="189" spans="1:5">
      <c r="A189" s="56" t="str">
        <f aca="1">INDEX(Raw_GI_Council!$B$2:$B$100,ROUNDUP(ROW(A188)/5,0))</f>
        <v>Tata AIG General Insurance Co Ltd</v>
      </c>
      <c r="B189" s="56" t="str">
        <f aca="1">INDEX(Raw_GI_Council!$C$2:$C$100,ROUNDUP(ROW(A188)/5,0))</f>
        <v>April-25</v>
      </c>
      <c r="C189" s="56" t="str">
        <f aca="1">INDEX(Raw_GI_Council!$D$1:$H$1,1,MOD(ROW(A188)-1,5)+1)</f>
        <v>Motor_Total</v>
      </c>
      <c r="D189" s="90">
        <f aca="1">IF(INDEX(Raw_GI_Council!$D$2:$H$100,ROUNDUP(ROW(A188)/5,0),MOD(ROW(A188)-1,5)+1)="-",0,INDEX(Raw_GI_Council!$D$2:$H$100,ROUNDUP(ROW(A188)/5,0),MOD(ROW(A188)-1,5)+1))</f>
        <v>685.299999999999955</v>
      </c>
      <c r="E189" s="56" t="str">
        <f>"GI Council"</f>
        <v>GI Council</v>
      </c>
    </row>
    <row r="190" spans="1:5">
      <c r="A190" s="56" t="str">
        <f aca="1">INDEX(Raw_GI_Council!$B$2:$B$100,ROUNDUP(ROW(A189)/5,0))</f>
        <v>Tata AIG General Insurance Co Ltd</v>
      </c>
      <c r="B190" s="56" t="str">
        <f aca="1">INDEX(Raw_GI_Council!$C$2:$C$100,ROUNDUP(ROW(A189)/5,0))</f>
        <v>April-25</v>
      </c>
      <c r="C190" s="56" t="str">
        <f aca="1">INDEX(Raw_GI_Council!$D$1:$H$1,1,MOD(ROW(A189)-1,5)+1)</f>
        <v>Health</v>
      </c>
      <c r="D190" s="90">
        <f aca="1">IF(INDEX(Raw_GI_Council!$D$2:$H$100,ROUNDUP(ROW(A189)/5,0),MOD(ROW(A189)-1,5)+1)="-",0,INDEX(Raw_GI_Council!$D$2:$H$100,ROUNDUP(ROW(A189)/5,0),MOD(ROW(A189)-1,5)+1))</f>
        <v>418</v>
      </c>
      <c r="E190" s="56" t="str">
        <f>"GI Council"</f>
        <v>GI Council</v>
      </c>
    </row>
    <row r="191" spans="1:5">
      <c r="A191" s="56" t="str">
        <f aca="1">INDEX(Raw_GI_Council!$B$2:$B$100,ROUNDUP(ROW(A190)/5,0))</f>
        <v>Tata AIG General Insurance Co Ltd</v>
      </c>
      <c r="B191" s="56" t="str">
        <f aca="1">INDEX(Raw_GI_Council!$C$2:$C$100,ROUNDUP(ROW(A190)/5,0))</f>
        <v>April-25</v>
      </c>
      <c r="C191" s="56" t="str">
        <f aca="1">INDEX(Raw_GI_Council!$D$1:$H$1,1,MOD(ROW(A190)-1,5)+1)</f>
        <v>Grand_Total</v>
      </c>
      <c r="D191" s="90">
        <f aca="1">IF(INDEX(Raw_GI_Council!$D$2:$H$100,ROUNDUP(ROW(A190)/5,0),MOD(ROW(A190)-1,5)+1)="-",0,INDEX(Raw_GI_Council!$D$2:$H$100,ROUNDUP(ROW(A190)/5,0),MOD(ROW(A190)-1,5)+1))</f>
        <v>2060.38000000000011</v>
      </c>
      <c r="E191" s="56" t="str">
        <f>"GI Council"</f>
        <v>GI Council</v>
      </c>
    </row>
    <row r="192" spans="1:5">
      <c r="A192" s="56" t="str">
        <f aca="1">INDEX(Raw_GI_Council!$B$2:$B$100,ROUNDUP(ROW(A191)/5,0))</f>
        <v>The New India Assurance Co Ltd</v>
      </c>
      <c r="B192" s="56" t="str">
        <f aca="1">INDEX(Raw_GI_Council!$C$2:$C$100,ROUNDUP(ROW(A191)/5,0))</f>
        <v>April-26</v>
      </c>
      <c r="C192" s="56" t="str">
        <f aca="1">INDEX(Raw_GI_Council!$D$1:$H$1,1,MOD(ROW(A191)-1,5)+1)</f>
        <v>Fire</v>
      </c>
      <c r="D192" s="90">
        <f aca="1">IF(INDEX(Raw_GI_Council!$D$2:$H$100,ROUNDUP(ROW(A191)/5,0),MOD(ROW(A191)-1,5)+1)="-",0,INDEX(Raw_GI_Council!$D$2:$H$100,ROUNDUP(ROW(A191)/5,0),MOD(ROW(A191)-1,5)+1))</f>
        <v>777.149999999999864</v>
      </c>
      <c r="E192" s="56" t="str">
        <f>"GI Council"</f>
        <v>GI Council</v>
      </c>
    </row>
    <row r="193" spans="1:5">
      <c r="A193" s="56" t="str">
        <f aca="1">INDEX(Raw_GI_Council!$B$2:$B$100,ROUNDUP(ROW(A192)/5,0))</f>
        <v>The New India Assurance Co Ltd</v>
      </c>
      <c r="B193" s="56" t="str">
        <f aca="1">INDEX(Raw_GI_Council!$C$2:$C$100,ROUNDUP(ROW(A192)/5,0))</f>
        <v>April-26</v>
      </c>
      <c r="C193" s="56" t="str">
        <f aca="1">INDEX(Raw_GI_Council!$D$1:$H$1,1,MOD(ROW(A192)-1,5)+1)</f>
        <v>Marine_Total</v>
      </c>
      <c r="D193" s="90">
        <f aca="1">IF(INDEX(Raw_GI_Council!$D$2:$H$100,ROUNDUP(ROW(A192)/5,0),MOD(ROW(A192)-1,5)+1)="-",0,INDEX(Raw_GI_Council!$D$2:$H$100,ROUNDUP(ROW(A192)/5,0),MOD(ROW(A192)-1,5)+1))</f>
        <v>195.050000000000011</v>
      </c>
      <c r="E193" s="56" t="str">
        <f>"GI Council"</f>
        <v>GI Council</v>
      </c>
    </row>
    <row r="194" spans="1:5">
      <c r="A194" s="56" t="str">
        <f aca="1">INDEX(Raw_GI_Council!$B$2:$B$100,ROUNDUP(ROW(A193)/5,0))</f>
        <v>The New India Assurance Co Ltd</v>
      </c>
      <c r="B194" s="56" t="str">
        <f aca="1">INDEX(Raw_GI_Council!$C$2:$C$100,ROUNDUP(ROW(A193)/5,0))</f>
        <v>April-26</v>
      </c>
      <c r="C194" s="56" t="str">
        <f aca="1">INDEX(Raw_GI_Council!$D$1:$H$1,1,MOD(ROW(A193)-1,5)+1)</f>
        <v>Motor_Total</v>
      </c>
      <c r="D194" s="90">
        <f aca="1">IF(INDEX(Raw_GI_Council!$D$2:$H$100,ROUNDUP(ROW(A193)/5,0),MOD(ROW(A193)-1,5)+1)="-",0,INDEX(Raw_GI_Council!$D$2:$H$100,ROUNDUP(ROW(A193)/5,0),MOD(ROW(A193)-1,5)+1))</f>
        <v>957.279999999999973</v>
      </c>
      <c r="E194" s="56" t="str">
        <f>"GI Council"</f>
        <v>GI Council</v>
      </c>
    </row>
    <row r="195" spans="1:5">
      <c r="A195" s="56" t="str">
        <f aca="1">INDEX(Raw_GI_Council!$B$2:$B$100,ROUNDUP(ROW(A194)/5,0))</f>
        <v>The New India Assurance Co Ltd</v>
      </c>
      <c r="B195" s="56" t="str">
        <f aca="1">INDEX(Raw_GI_Council!$C$2:$C$100,ROUNDUP(ROW(A194)/5,0))</f>
        <v>April-26</v>
      </c>
      <c r="C195" s="56" t="str">
        <f aca="1">INDEX(Raw_GI_Council!$D$1:$H$1,1,MOD(ROW(A194)-1,5)+1)</f>
        <v>Health</v>
      </c>
      <c r="D195" s="90">
        <f aca="1">IF(INDEX(Raw_GI_Council!$D$2:$H$100,ROUNDUP(ROW(A194)/5,0),MOD(ROW(A194)-1,5)+1)="-",0,INDEX(Raw_GI_Council!$D$2:$H$100,ROUNDUP(ROW(A194)/5,0),MOD(ROW(A194)-1,5)+1))</f>
        <v>3605.88000000000011</v>
      </c>
      <c r="E195" s="56" t="str">
        <f>"GI Council"</f>
        <v>GI Council</v>
      </c>
    </row>
    <row r="196" spans="1:5">
      <c r="A196" s="56" t="str">
        <f aca="1">INDEX(Raw_GI_Council!$B$2:$B$100,ROUNDUP(ROW(A195)/5,0))</f>
        <v>The New India Assurance Co Ltd</v>
      </c>
      <c r="B196" s="56" t="str">
        <f aca="1">INDEX(Raw_GI_Council!$C$2:$C$100,ROUNDUP(ROW(A195)/5,0))</f>
        <v>April-26</v>
      </c>
      <c r="C196" s="56" t="str">
        <f aca="1">INDEX(Raw_GI_Council!$D$1:$H$1,1,MOD(ROW(A195)-1,5)+1)</f>
        <v>Grand_Total</v>
      </c>
      <c r="D196" s="90">
        <f aca="1">IF(INDEX(Raw_GI_Council!$D$2:$H$100,ROUNDUP(ROW(A195)/5,0),MOD(ROW(A195)-1,5)+1)="-",0,INDEX(Raw_GI_Council!$D$2:$H$100,ROUNDUP(ROW(A195)/5,0),MOD(ROW(A195)-1,5)+1))</f>
        <v>6084.97999999999956</v>
      </c>
      <c r="E196" s="56" t="str">
        <f>"GI Council"</f>
        <v>GI Council</v>
      </c>
    </row>
    <row r="197" spans="1:5">
      <c r="A197" s="56" t="str">
        <f aca="1">INDEX(Raw_GI_Council!$B$2:$B$100,ROUNDUP(ROW(A196)/5,0))</f>
        <v>The New India Assurance Co Ltd</v>
      </c>
      <c r="B197" s="56" t="str">
        <f aca="1">INDEX(Raw_GI_Council!$C$2:$C$100,ROUNDUP(ROW(A196)/5,0))</f>
        <v>April-25</v>
      </c>
      <c r="C197" s="56" t="str">
        <f aca="1">INDEX(Raw_GI_Council!$D$1:$H$1,1,MOD(ROW(A196)-1,5)+1)</f>
        <v>Fire</v>
      </c>
      <c r="D197" s="90">
        <f aca="1">IF(INDEX(Raw_GI_Council!$D$2:$H$100,ROUNDUP(ROW(A196)/5,0),MOD(ROW(A196)-1,5)+1)="-",0,INDEX(Raw_GI_Council!$D$2:$H$100,ROUNDUP(ROW(A196)/5,0),MOD(ROW(A196)-1,5)+1))</f>
        <v>1058.45000000000005</v>
      </c>
      <c r="E197" s="56" t="str">
        <f>"GI Council"</f>
        <v>GI Council</v>
      </c>
    </row>
    <row r="198" spans="1:5">
      <c r="A198" s="56" t="str">
        <f aca="1">INDEX(Raw_GI_Council!$B$2:$B$100,ROUNDUP(ROW(A197)/5,0))</f>
        <v>The New India Assurance Co Ltd</v>
      </c>
      <c r="B198" s="56" t="str">
        <f aca="1">INDEX(Raw_GI_Council!$C$2:$C$100,ROUNDUP(ROW(A197)/5,0))</f>
        <v>April-25</v>
      </c>
      <c r="C198" s="56" t="str">
        <f aca="1">INDEX(Raw_GI_Council!$D$1:$H$1,1,MOD(ROW(A197)-1,5)+1)</f>
        <v>Marine_Total</v>
      </c>
      <c r="D198" s="90">
        <f aca="1">IF(INDEX(Raw_GI_Council!$D$2:$H$100,ROUNDUP(ROW(A197)/5,0),MOD(ROW(A197)-1,5)+1)="-",0,INDEX(Raw_GI_Council!$D$2:$H$100,ROUNDUP(ROW(A197)/5,0),MOD(ROW(A197)-1,5)+1))</f>
        <v>146.400000000000006</v>
      </c>
      <c r="E198" s="56" t="str">
        <f>"GI Council"</f>
        <v>GI Council</v>
      </c>
    </row>
    <row r="199" spans="1:5">
      <c r="A199" s="56" t="str">
        <f aca="1">INDEX(Raw_GI_Council!$B$2:$B$100,ROUNDUP(ROW(A198)/5,0))</f>
        <v>The New India Assurance Co Ltd</v>
      </c>
      <c r="B199" s="56" t="str">
        <f aca="1">INDEX(Raw_GI_Council!$C$2:$C$100,ROUNDUP(ROW(A198)/5,0))</f>
        <v>April-25</v>
      </c>
      <c r="C199" s="56" t="str">
        <f aca="1">INDEX(Raw_GI_Council!$D$1:$H$1,1,MOD(ROW(A198)-1,5)+1)</f>
        <v>Motor_Total</v>
      </c>
      <c r="D199" s="90">
        <f aca="1">IF(INDEX(Raw_GI_Council!$D$2:$H$100,ROUNDUP(ROW(A198)/5,0),MOD(ROW(A198)-1,5)+1)="-",0,INDEX(Raw_GI_Council!$D$2:$H$100,ROUNDUP(ROW(A198)/5,0),MOD(ROW(A198)-1,5)+1))</f>
        <v>827.82000000000005</v>
      </c>
      <c r="E199" s="56" t="str">
        <f>"GI Council"</f>
        <v>GI Council</v>
      </c>
    </row>
    <row r="200" spans="1:5">
      <c r="A200" s="56" t="str">
        <f aca="1">INDEX(Raw_GI_Council!$B$2:$B$100,ROUNDUP(ROW(A199)/5,0))</f>
        <v>The New India Assurance Co Ltd</v>
      </c>
      <c r="B200" s="56" t="str">
        <f aca="1">INDEX(Raw_GI_Council!$C$2:$C$100,ROUNDUP(ROW(A199)/5,0))</f>
        <v>April-25</v>
      </c>
      <c r="C200" s="56" t="str">
        <f aca="1">INDEX(Raw_GI_Council!$D$1:$H$1,1,MOD(ROW(A199)-1,5)+1)</f>
        <v>Health</v>
      </c>
      <c r="D200" s="90">
        <f aca="1">IF(INDEX(Raw_GI_Council!$D$2:$H$100,ROUNDUP(ROW(A199)/5,0),MOD(ROW(A199)-1,5)+1)="-",0,INDEX(Raw_GI_Council!$D$2:$H$100,ROUNDUP(ROW(A199)/5,0),MOD(ROW(A199)-1,5)+1))</f>
        <v>3411.69999999999982</v>
      </c>
      <c r="E200" s="56" t="str">
        <f>"GI Council"</f>
        <v>GI Council</v>
      </c>
    </row>
    <row r="201" spans="1:5">
      <c r="A201" s="56" t="str">
        <f aca="1">INDEX(Raw_GI_Council!$B$2:$B$100,ROUNDUP(ROW(A200)/5,0))</f>
        <v>The New India Assurance Co Ltd</v>
      </c>
      <c r="B201" s="56" t="str">
        <f aca="1">INDEX(Raw_GI_Council!$C$2:$C$100,ROUNDUP(ROW(A200)/5,0))</f>
        <v>April-25</v>
      </c>
      <c r="C201" s="56" t="str">
        <f aca="1">INDEX(Raw_GI_Council!$D$1:$H$1,1,MOD(ROW(A200)-1,5)+1)</f>
        <v>Grand_Total</v>
      </c>
      <c r="D201" s="90">
        <f aca="1">IF(INDEX(Raw_GI_Council!$D$2:$H$100,ROUNDUP(ROW(A200)/5,0),MOD(ROW(A200)-1,5)+1)="-",0,INDEX(Raw_GI_Council!$D$2:$H$100,ROUNDUP(ROW(A200)/5,0),MOD(ROW(A200)-1,5)+1))</f>
        <v>6026.61999999999989</v>
      </c>
      <c r="E201" s="56" t="str">
        <f>"GI Council"</f>
        <v>GI Council</v>
      </c>
    </row>
    <row r="202" spans="1:5">
      <c r="A202" s="56" t="str">
        <f aca="1">INDEX(Raw_GI_Council!$B$2:$B$100,ROUNDUP(ROW(A201)/5,0))</f>
        <v>The Oriental Insurance Co Ltd</v>
      </c>
      <c r="B202" s="56" t="str">
        <f aca="1">INDEX(Raw_GI_Council!$C$2:$C$100,ROUNDUP(ROW(A201)/5,0))</f>
        <v>April-26</v>
      </c>
      <c r="C202" s="56" t="str">
        <f aca="1">INDEX(Raw_GI_Council!$D$1:$H$1,1,MOD(ROW(A201)-1,5)+1)</f>
        <v>Fire</v>
      </c>
      <c r="D202" s="90">
        <f aca="1">IF(INDEX(Raw_GI_Council!$D$2:$H$100,ROUNDUP(ROW(A201)/5,0),MOD(ROW(A201)-1,5)+1)="-",0,INDEX(Raw_GI_Council!$D$2:$H$100,ROUNDUP(ROW(A201)/5,0),MOD(ROW(A201)-1,5)+1))</f>
        <v>206.949999999999989</v>
      </c>
      <c r="E202" s="56" t="str">
        <f>"GI Council"</f>
        <v>GI Council</v>
      </c>
    </row>
    <row r="203" spans="1:5">
      <c r="A203" s="56" t="str">
        <f aca="1">INDEX(Raw_GI_Council!$B$2:$B$100,ROUNDUP(ROW(A202)/5,0))</f>
        <v>The Oriental Insurance Co Ltd</v>
      </c>
      <c r="B203" s="56" t="str">
        <f aca="1">INDEX(Raw_GI_Council!$C$2:$C$100,ROUNDUP(ROW(A202)/5,0))</f>
        <v>April-26</v>
      </c>
      <c r="C203" s="56" t="str">
        <f aca="1">INDEX(Raw_GI_Council!$D$1:$H$1,1,MOD(ROW(A202)-1,5)+1)</f>
        <v>Marine_Total</v>
      </c>
      <c r="D203" s="90">
        <f aca="1">IF(INDEX(Raw_GI_Council!$D$2:$H$100,ROUNDUP(ROW(A202)/5,0),MOD(ROW(A202)-1,5)+1)="-",0,INDEX(Raw_GI_Council!$D$2:$H$100,ROUNDUP(ROW(A202)/5,0),MOD(ROW(A202)-1,5)+1))</f>
        <v>90.7800000000000011</v>
      </c>
      <c r="E203" s="56" t="str">
        <f>"GI Council"</f>
        <v>GI Council</v>
      </c>
    </row>
    <row r="204" spans="1:5">
      <c r="A204" s="56" t="str">
        <f aca="1">INDEX(Raw_GI_Council!$B$2:$B$100,ROUNDUP(ROW(A203)/5,0))</f>
        <v>The Oriental Insurance Co Ltd</v>
      </c>
      <c r="B204" s="56" t="str">
        <f aca="1">INDEX(Raw_GI_Council!$C$2:$C$100,ROUNDUP(ROW(A203)/5,0))</f>
        <v>April-26</v>
      </c>
      <c r="C204" s="56" t="str">
        <f aca="1">INDEX(Raw_GI_Council!$D$1:$H$1,1,MOD(ROW(A203)-1,5)+1)</f>
        <v>Motor_Total</v>
      </c>
      <c r="D204" s="90">
        <f aca="1">IF(INDEX(Raw_GI_Council!$D$2:$H$100,ROUNDUP(ROW(A203)/5,0),MOD(ROW(A203)-1,5)+1)="-",0,INDEX(Raw_GI_Council!$D$2:$H$100,ROUNDUP(ROW(A203)/5,0),MOD(ROW(A203)-1,5)+1))</f>
        <v>320.300000000000011</v>
      </c>
      <c r="E204" s="56" t="str">
        <f>"GI Council"</f>
        <v>GI Council</v>
      </c>
    </row>
    <row r="205" spans="1:5">
      <c r="A205" s="56" t="str">
        <f aca="1">INDEX(Raw_GI_Council!$B$2:$B$100,ROUNDUP(ROW(A204)/5,0))</f>
        <v>The Oriental Insurance Co Ltd</v>
      </c>
      <c r="B205" s="56" t="str">
        <f aca="1">INDEX(Raw_GI_Council!$C$2:$C$100,ROUNDUP(ROW(A204)/5,0))</f>
        <v>April-26</v>
      </c>
      <c r="C205" s="56" t="str">
        <f aca="1">INDEX(Raw_GI_Council!$D$1:$H$1,1,MOD(ROW(A204)-1,5)+1)</f>
        <v>Health</v>
      </c>
      <c r="D205" s="90">
        <f aca="1">IF(INDEX(Raw_GI_Council!$D$2:$H$100,ROUNDUP(ROW(A204)/5,0),MOD(ROW(A204)-1,5)+1)="-",0,INDEX(Raw_GI_Council!$D$2:$H$100,ROUNDUP(ROW(A204)/5,0),MOD(ROW(A204)-1,5)+1))</f>
        <v>953.700000000000045</v>
      </c>
      <c r="E205" s="56" t="str">
        <f>"GI Council"</f>
        <v>GI Council</v>
      </c>
    </row>
    <row r="206" spans="1:5">
      <c r="A206" s="56" t="str">
        <f aca="1">INDEX(Raw_GI_Council!$B$2:$B$100,ROUNDUP(ROW(A205)/5,0))</f>
        <v>The Oriental Insurance Co Ltd</v>
      </c>
      <c r="B206" s="56" t="str">
        <f aca="1">INDEX(Raw_GI_Council!$C$2:$C$100,ROUNDUP(ROW(A205)/5,0))</f>
        <v>April-26</v>
      </c>
      <c r="C206" s="56" t="str">
        <f aca="1">INDEX(Raw_GI_Council!$D$1:$H$1,1,MOD(ROW(A205)-1,5)+1)</f>
        <v>Grand_Total</v>
      </c>
      <c r="D206" s="90">
        <f aca="1">IF(INDEX(Raw_GI_Council!$D$2:$H$100,ROUNDUP(ROW(A205)/5,0),MOD(ROW(A205)-1,5)+1)="-",0,INDEX(Raw_GI_Council!$D$2:$H$100,ROUNDUP(ROW(A205)/5,0),MOD(ROW(A205)-1,5)+1))</f>
        <v>2670.23999999999978</v>
      </c>
      <c r="E206" s="56" t="str">
        <f>"GI Council"</f>
        <v>GI Council</v>
      </c>
    </row>
    <row r="207" spans="1:5">
      <c r="A207" s="56" t="str">
        <f aca="1">INDEX(Raw_GI_Council!$B$2:$B$100,ROUNDUP(ROW(A206)/5,0))</f>
        <v>The Oriental Insurance Co Ltd</v>
      </c>
      <c r="B207" s="56" t="str">
        <f aca="1">INDEX(Raw_GI_Council!$C$2:$C$100,ROUNDUP(ROW(A206)/5,0))</f>
        <v>April-25</v>
      </c>
      <c r="C207" s="56" t="str">
        <f aca="1">INDEX(Raw_GI_Council!$D$1:$H$1,1,MOD(ROW(A206)-1,5)+1)</f>
        <v>Fire</v>
      </c>
      <c r="D207" s="90">
        <f aca="1">IF(INDEX(Raw_GI_Council!$D$2:$H$100,ROUNDUP(ROW(A206)/5,0),MOD(ROW(A206)-1,5)+1)="-",0,INDEX(Raw_GI_Council!$D$2:$H$100,ROUNDUP(ROW(A206)/5,0),MOD(ROW(A206)-1,5)+1))</f>
        <v>339.939999999999998</v>
      </c>
      <c r="E207" s="56" t="str">
        <f>"GI Council"</f>
        <v>GI Council</v>
      </c>
    </row>
    <row r="208" spans="1:5">
      <c r="A208" s="56" t="str">
        <f aca="1">INDEX(Raw_GI_Council!$B$2:$B$100,ROUNDUP(ROW(A207)/5,0))</f>
        <v>The Oriental Insurance Co Ltd</v>
      </c>
      <c r="B208" s="56" t="str">
        <f aca="1">INDEX(Raw_GI_Council!$C$2:$C$100,ROUNDUP(ROW(A207)/5,0))</f>
        <v>April-25</v>
      </c>
      <c r="C208" s="56" t="str">
        <f aca="1">INDEX(Raw_GI_Council!$D$1:$H$1,1,MOD(ROW(A207)-1,5)+1)</f>
        <v>Marine_Total</v>
      </c>
      <c r="D208" s="90">
        <f aca="1">IF(INDEX(Raw_GI_Council!$D$2:$H$100,ROUNDUP(ROW(A207)/5,0),MOD(ROW(A207)-1,5)+1)="-",0,INDEX(Raw_GI_Council!$D$2:$H$100,ROUNDUP(ROW(A207)/5,0),MOD(ROW(A207)-1,5)+1))</f>
        <v>68.230000000000004</v>
      </c>
      <c r="E208" s="56" t="str">
        <f>"GI Council"</f>
        <v>GI Council</v>
      </c>
    </row>
    <row r="209" spans="1:5">
      <c r="A209" s="56" t="str">
        <f aca="1">INDEX(Raw_GI_Council!$B$2:$B$100,ROUNDUP(ROW(A208)/5,0))</f>
        <v>The Oriental Insurance Co Ltd</v>
      </c>
      <c r="B209" s="56" t="str">
        <f aca="1">INDEX(Raw_GI_Council!$C$2:$C$100,ROUNDUP(ROW(A208)/5,0))</f>
        <v>April-25</v>
      </c>
      <c r="C209" s="56" t="str">
        <f aca="1">INDEX(Raw_GI_Council!$D$1:$H$1,1,MOD(ROW(A208)-1,5)+1)</f>
        <v>Motor_Total</v>
      </c>
      <c r="D209" s="90">
        <f aca="1">IF(INDEX(Raw_GI_Council!$D$2:$H$100,ROUNDUP(ROW(A208)/5,0),MOD(ROW(A208)-1,5)+1)="-",0,INDEX(Raw_GI_Council!$D$2:$H$100,ROUNDUP(ROW(A208)/5,0),MOD(ROW(A208)-1,5)+1))</f>
        <v>381.649999999999977</v>
      </c>
      <c r="E209" s="56" t="str">
        <f>"GI Council"</f>
        <v>GI Council</v>
      </c>
    </row>
    <row r="210" spans="1:5">
      <c r="A210" s="56" t="str">
        <f aca="1">INDEX(Raw_GI_Council!$B$2:$B$100,ROUNDUP(ROW(A209)/5,0))</f>
        <v>The Oriental Insurance Co Ltd</v>
      </c>
      <c r="B210" s="56" t="str">
        <f aca="1">INDEX(Raw_GI_Council!$C$2:$C$100,ROUNDUP(ROW(A209)/5,0))</f>
        <v>April-25</v>
      </c>
      <c r="C210" s="56" t="str">
        <f aca="1">INDEX(Raw_GI_Council!$D$1:$H$1,1,MOD(ROW(A209)-1,5)+1)</f>
        <v>Health</v>
      </c>
      <c r="D210" s="90">
        <f aca="1">IF(INDEX(Raw_GI_Council!$D$2:$H$100,ROUNDUP(ROW(A209)/5,0),MOD(ROW(A209)-1,5)+1)="-",0,INDEX(Raw_GI_Council!$D$2:$H$100,ROUNDUP(ROW(A209)/5,0),MOD(ROW(A209)-1,5)+1))</f>
        <v>1020.35000000000002</v>
      </c>
      <c r="E210" s="56" t="str">
        <f>"GI Council"</f>
        <v>GI Council</v>
      </c>
    </row>
    <row r="211" spans="1:5">
      <c r="A211" s="56" t="str">
        <f aca="1">INDEX(Raw_GI_Council!$B$2:$B$100,ROUNDUP(ROW(A210)/5,0))</f>
        <v>The Oriental Insurance Co Ltd</v>
      </c>
      <c r="B211" s="56" t="str">
        <f aca="1">INDEX(Raw_GI_Council!$C$2:$C$100,ROUNDUP(ROW(A210)/5,0))</f>
        <v>April-25</v>
      </c>
      <c r="C211" s="56" t="str">
        <f aca="1">INDEX(Raw_GI_Council!$D$1:$H$1,1,MOD(ROW(A210)-1,5)+1)</f>
        <v>Grand_Total</v>
      </c>
      <c r="D211" s="90">
        <f aca="1">IF(INDEX(Raw_GI_Council!$D$2:$H$100,ROUNDUP(ROW(A210)/5,0),MOD(ROW(A210)-1,5)+1)="-",0,INDEX(Raw_GI_Council!$D$2:$H$100,ROUNDUP(ROW(A210)/5,0),MOD(ROW(A210)-1,5)+1))</f>
        <v>2629.90000000000009</v>
      </c>
      <c r="E211" s="56" t="str">
        <f>"GI Council"</f>
        <v>GI Council</v>
      </c>
    </row>
    <row r="212" spans="1:5">
      <c r="A212" s="56" t="str">
        <f aca="1">INDEX(Raw_GI_Council!$B$2:$B$100,ROUNDUP(ROW(A211)/5,0))</f>
        <v>United India Insurance Co Ltd</v>
      </c>
      <c r="B212" s="56" t="str">
        <f aca="1">INDEX(Raw_GI_Council!$C$2:$C$100,ROUNDUP(ROW(A211)/5,0))</f>
        <v>April-26</v>
      </c>
      <c r="C212" s="56" t="str">
        <f aca="1">INDEX(Raw_GI_Council!$D$1:$H$1,1,MOD(ROW(A211)-1,5)+1)</f>
        <v>Fire</v>
      </c>
      <c r="D212" s="90">
        <f aca="1">IF(INDEX(Raw_GI_Council!$D$2:$H$100,ROUNDUP(ROW(A211)/5,0),MOD(ROW(A211)-1,5)+1)="-",0,INDEX(Raw_GI_Council!$D$2:$H$100,ROUNDUP(ROW(A211)/5,0),MOD(ROW(A211)-1,5)+1))</f>
        <v>176.909999999999997</v>
      </c>
      <c r="E212" s="56" t="str">
        <f>"GI Council"</f>
        <v>GI Council</v>
      </c>
    </row>
    <row r="213" spans="1:5">
      <c r="A213" s="56" t="str">
        <f aca="1">INDEX(Raw_GI_Council!$B$2:$B$100,ROUNDUP(ROW(A212)/5,0))</f>
        <v>United India Insurance Co Ltd</v>
      </c>
      <c r="B213" s="56" t="str">
        <f aca="1">INDEX(Raw_GI_Council!$C$2:$C$100,ROUNDUP(ROW(A212)/5,0))</f>
        <v>April-26</v>
      </c>
      <c r="C213" s="56" t="str">
        <f aca="1">INDEX(Raw_GI_Council!$D$1:$H$1,1,MOD(ROW(A212)-1,5)+1)</f>
        <v>Marine_Total</v>
      </c>
      <c r="D213" s="90">
        <f aca="1">IF(INDEX(Raw_GI_Council!$D$2:$H$100,ROUNDUP(ROW(A212)/5,0),MOD(ROW(A212)-1,5)+1)="-",0,INDEX(Raw_GI_Council!$D$2:$H$100,ROUNDUP(ROW(A212)/5,0),MOD(ROW(A212)-1,5)+1))</f>
        <v>40.6899999999999977</v>
      </c>
      <c r="E213" s="56" t="str">
        <f>"GI Council"</f>
        <v>GI Council</v>
      </c>
    </row>
    <row r="214" spans="1:5">
      <c r="A214" s="56" t="str">
        <f aca="1">INDEX(Raw_GI_Council!$B$2:$B$100,ROUNDUP(ROW(A213)/5,0))</f>
        <v>United India Insurance Co Ltd</v>
      </c>
      <c r="B214" s="56" t="str">
        <f aca="1">INDEX(Raw_GI_Council!$C$2:$C$100,ROUNDUP(ROW(A213)/5,0))</f>
        <v>April-26</v>
      </c>
      <c r="C214" s="56" t="str">
        <f aca="1">INDEX(Raw_GI_Council!$D$1:$H$1,1,MOD(ROW(A213)-1,5)+1)</f>
        <v>Motor_Total</v>
      </c>
      <c r="D214" s="90">
        <f aca="1">IF(INDEX(Raw_GI_Council!$D$2:$H$100,ROUNDUP(ROW(A213)/5,0),MOD(ROW(A213)-1,5)+1)="-",0,INDEX(Raw_GI_Council!$D$2:$H$100,ROUNDUP(ROW(A213)/5,0),MOD(ROW(A213)-1,5)+1))</f>
        <v>778.110000000000014</v>
      </c>
      <c r="E214" s="56" t="str">
        <f>"GI Council"</f>
        <v>GI Council</v>
      </c>
    </row>
    <row r="215" spans="1:5">
      <c r="A215" s="56" t="str">
        <f aca="1">INDEX(Raw_GI_Council!$B$2:$B$100,ROUNDUP(ROW(A214)/5,0))</f>
        <v>United India Insurance Co Ltd</v>
      </c>
      <c r="B215" s="56" t="str">
        <f aca="1">INDEX(Raw_GI_Council!$C$2:$C$100,ROUNDUP(ROW(A214)/5,0))</f>
        <v>April-26</v>
      </c>
      <c r="C215" s="56" t="str">
        <f aca="1">INDEX(Raw_GI_Council!$D$1:$H$1,1,MOD(ROW(A214)-1,5)+1)</f>
        <v>Health</v>
      </c>
      <c r="D215" s="90">
        <f aca="1">IF(INDEX(Raw_GI_Council!$D$2:$H$100,ROUNDUP(ROW(A214)/5,0),MOD(ROW(A214)-1,5)+1)="-",0,INDEX(Raw_GI_Council!$D$2:$H$100,ROUNDUP(ROW(A214)/5,0),MOD(ROW(A214)-1,5)+1))</f>
        <v>935.690000000000055</v>
      </c>
      <c r="E215" s="56" t="str">
        <f>"GI Council"</f>
        <v>GI Council</v>
      </c>
    </row>
    <row r="216" spans="1:5">
      <c r="A216" s="56" t="str">
        <f aca="1">INDEX(Raw_GI_Council!$B$2:$B$100,ROUNDUP(ROW(A215)/5,0))</f>
        <v>United India Insurance Co Ltd</v>
      </c>
      <c r="B216" s="56" t="str">
        <f aca="1">INDEX(Raw_GI_Council!$C$2:$C$100,ROUNDUP(ROW(A215)/5,0))</f>
        <v>April-26</v>
      </c>
      <c r="C216" s="56" t="str">
        <f aca="1">INDEX(Raw_GI_Council!$D$1:$H$1,1,MOD(ROW(A215)-1,5)+1)</f>
        <v>Grand_Total</v>
      </c>
      <c r="D216" s="90">
        <f aca="1">IF(INDEX(Raw_GI_Council!$D$2:$H$100,ROUNDUP(ROW(A215)/5,0),MOD(ROW(A215)-1,5)+1)="-",0,INDEX(Raw_GI_Council!$D$2:$H$100,ROUNDUP(ROW(A215)/5,0),MOD(ROW(A215)-1,5)+1))</f>
        <v>2117.23999999999978</v>
      </c>
      <c r="E216" s="56" t="str">
        <f>"GI Council"</f>
        <v>GI Council</v>
      </c>
    </row>
    <row r="217" spans="1:5">
      <c r="A217" s="56" t="str">
        <f aca="1">INDEX(Raw_GI_Council!$B$2:$B$100,ROUNDUP(ROW(A216)/5,0))</f>
        <v>United India Insurance Co Ltd</v>
      </c>
      <c r="B217" s="56" t="str">
        <f aca="1">INDEX(Raw_GI_Council!$C$2:$C$100,ROUNDUP(ROW(A216)/5,0))</f>
        <v>April-25</v>
      </c>
      <c r="C217" s="56" t="str">
        <f aca="1">INDEX(Raw_GI_Council!$D$1:$H$1,1,MOD(ROW(A216)-1,5)+1)</f>
        <v>Fire</v>
      </c>
      <c r="D217" s="90">
        <f aca="1">IF(INDEX(Raw_GI_Council!$D$2:$H$100,ROUNDUP(ROW(A216)/5,0),MOD(ROW(A216)-1,5)+1)="-",0,INDEX(Raw_GI_Council!$D$2:$H$100,ROUNDUP(ROW(A216)/5,0),MOD(ROW(A216)-1,5)+1))</f>
        <v>253.439999999999998</v>
      </c>
      <c r="E217" s="56" t="str">
        <f>"GI Council"</f>
        <v>GI Council</v>
      </c>
    </row>
    <row r="218" spans="1:5">
      <c r="A218" s="56" t="str">
        <f aca="1">INDEX(Raw_GI_Council!$B$2:$B$100,ROUNDUP(ROW(A217)/5,0))</f>
        <v>United India Insurance Co Ltd</v>
      </c>
      <c r="B218" s="56" t="str">
        <f aca="1">INDEX(Raw_GI_Council!$C$2:$C$100,ROUNDUP(ROW(A217)/5,0))</f>
        <v>April-25</v>
      </c>
      <c r="C218" s="56" t="str">
        <f aca="1">INDEX(Raw_GI_Council!$D$1:$H$1,1,MOD(ROW(A217)-1,5)+1)</f>
        <v>Marine_Total</v>
      </c>
      <c r="D218" s="90">
        <f aca="1">IF(INDEX(Raw_GI_Council!$D$2:$H$100,ROUNDUP(ROW(A217)/5,0),MOD(ROW(A217)-1,5)+1)="-",0,INDEX(Raw_GI_Council!$D$2:$H$100,ROUNDUP(ROW(A217)/5,0),MOD(ROW(A217)-1,5)+1))</f>
        <v>35.3599999999999994</v>
      </c>
      <c r="E218" s="56" t="str">
        <f>"GI Council"</f>
        <v>GI Council</v>
      </c>
    </row>
    <row r="219" spans="1:5">
      <c r="A219" s="56" t="str">
        <f aca="1">INDEX(Raw_GI_Council!$B$2:$B$100,ROUNDUP(ROW(A218)/5,0))</f>
        <v>United India Insurance Co Ltd</v>
      </c>
      <c r="B219" s="56" t="str">
        <f aca="1">INDEX(Raw_GI_Council!$C$2:$C$100,ROUNDUP(ROW(A218)/5,0))</f>
        <v>April-25</v>
      </c>
      <c r="C219" s="56" t="str">
        <f aca="1">INDEX(Raw_GI_Council!$D$1:$H$1,1,MOD(ROW(A218)-1,5)+1)</f>
        <v>Motor_Total</v>
      </c>
      <c r="D219" s="90">
        <f aca="1">IF(INDEX(Raw_GI_Council!$D$2:$H$100,ROUNDUP(ROW(A218)/5,0),MOD(ROW(A218)-1,5)+1)="-",0,INDEX(Raw_GI_Council!$D$2:$H$100,ROUNDUP(ROW(A218)/5,0),MOD(ROW(A218)-1,5)+1))</f>
        <v>772.759999999999991</v>
      </c>
      <c r="E219" s="56" t="str">
        <f>"GI Council"</f>
        <v>GI Council</v>
      </c>
    </row>
    <row r="220" spans="1:5">
      <c r="A220" s="56" t="str">
        <f aca="1">INDEX(Raw_GI_Council!$B$2:$B$100,ROUNDUP(ROW(A219)/5,0))</f>
        <v>United India Insurance Co Ltd</v>
      </c>
      <c r="B220" s="56" t="str">
        <f aca="1">INDEX(Raw_GI_Council!$C$2:$C$100,ROUNDUP(ROW(A219)/5,0))</f>
        <v>April-25</v>
      </c>
      <c r="C220" s="56" t="str">
        <f aca="1">INDEX(Raw_GI_Council!$D$1:$H$1,1,MOD(ROW(A219)-1,5)+1)</f>
        <v>Health</v>
      </c>
      <c r="D220" s="90">
        <f aca="1">IF(INDEX(Raw_GI_Council!$D$2:$H$100,ROUNDUP(ROW(A219)/5,0),MOD(ROW(A219)-1,5)+1)="-",0,INDEX(Raw_GI_Council!$D$2:$H$100,ROUNDUP(ROW(A219)/5,0),MOD(ROW(A219)-1,5)+1))</f>
        <v>837.940000000000055</v>
      </c>
      <c r="E220" s="56" t="str">
        <f>"GI Council"</f>
        <v>GI Council</v>
      </c>
    </row>
    <row r="221" spans="1:5">
      <c r="A221" s="56" t="str">
        <f aca="1">INDEX(Raw_GI_Council!$B$2:$B$100,ROUNDUP(ROW(A220)/5,0))</f>
        <v>United India Insurance Co Ltd</v>
      </c>
      <c r="B221" s="56" t="str">
        <f aca="1">INDEX(Raw_GI_Council!$C$2:$C$100,ROUNDUP(ROW(A220)/5,0))</f>
        <v>April-25</v>
      </c>
      <c r="C221" s="56" t="str">
        <f aca="1">INDEX(Raw_GI_Council!$D$1:$H$1,1,MOD(ROW(A220)-1,5)+1)</f>
        <v>Grand_Total</v>
      </c>
      <c r="D221" s="90">
        <f aca="1">IF(INDEX(Raw_GI_Council!$D$2:$H$100,ROUNDUP(ROW(A220)/5,0),MOD(ROW(A220)-1,5)+1)="-",0,INDEX(Raw_GI_Council!$D$2:$H$100,ROUNDUP(ROW(A220)/5,0),MOD(ROW(A220)-1,5)+1))</f>
        <v>2093.11000000000013</v>
      </c>
      <c r="E221" s="56" t="str">
        <f>"GI Council"</f>
        <v>GI Council</v>
      </c>
    </row>
    <row r="222" spans="1:5">
      <c r="A222" s="56" t="str">
        <f aca="1">INDEX(Raw_GI_Council!$B$2:$B$100,ROUNDUP(ROW(A221)/5,0))</f>
        <v>Universal Sompo General Insurance Co Ltd</v>
      </c>
      <c r="B222" s="56" t="str">
        <f aca="1">INDEX(Raw_GI_Council!$C$2:$C$100,ROUNDUP(ROW(A221)/5,0))</f>
        <v>April-26</v>
      </c>
      <c r="C222" s="56" t="str">
        <f aca="1">INDEX(Raw_GI_Council!$D$1:$H$1,1,MOD(ROW(A221)-1,5)+1)</f>
        <v>Fire</v>
      </c>
      <c r="D222" s="90">
        <f aca="1">IF(INDEX(Raw_GI_Council!$D$2:$H$100,ROUNDUP(ROW(A221)/5,0),MOD(ROW(A221)-1,5)+1)="-",0,INDEX(Raw_GI_Council!$D$2:$H$100,ROUNDUP(ROW(A221)/5,0),MOD(ROW(A221)-1,5)+1))</f>
        <v>43.0399999999999991</v>
      </c>
      <c r="E222" s="56" t="str">
        <f>"GI Council"</f>
        <v>GI Council</v>
      </c>
    </row>
    <row r="223" spans="1:5">
      <c r="A223" s="56" t="str">
        <f aca="1">INDEX(Raw_GI_Council!$B$2:$B$100,ROUNDUP(ROW(A222)/5,0))</f>
        <v>Universal Sompo General Insurance Co Ltd</v>
      </c>
      <c r="B223" s="56" t="str">
        <f aca="1">INDEX(Raw_GI_Council!$C$2:$C$100,ROUNDUP(ROW(A222)/5,0))</f>
        <v>April-26</v>
      </c>
      <c r="C223" s="56" t="str">
        <f aca="1">INDEX(Raw_GI_Council!$D$1:$H$1,1,MOD(ROW(A222)-1,5)+1)</f>
        <v>Marine_Total</v>
      </c>
      <c r="D223" s="90">
        <f aca="1">IF(INDEX(Raw_GI_Council!$D$2:$H$100,ROUNDUP(ROW(A222)/5,0),MOD(ROW(A222)-1,5)+1)="-",0,INDEX(Raw_GI_Council!$D$2:$H$100,ROUNDUP(ROW(A222)/5,0),MOD(ROW(A222)-1,5)+1))</f>
        <v>14.7899999999999991</v>
      </c>
      <c r="E223" s="56" t="str">
        <f>"GI Council"</f>
        <v>GI Council</v>
      </c>
    </row>
    <row r="224" spans="1:5">
      <c r="A224" s="56" t="str">
        <f aca="1">INDEX(Raw_GI_Council!$B$2:$B$100,ROUNDUP(ROW(A223)/5,0))</f>
        <v>Universal Sompo General Insurance Co Ltd</v>
      </c>
      <c r="B224" s="56" t="str">
        <f aca="1">INDEX(Raw_GI_Council!$C$2:$C$100,ROUNDUP(ROW(A223)/5,0))</f>
        <v>April-26</v>
      </c>
      <c r="C224" s="56" t="str">
        <f aca="1">INDEX(Raw_GI_Council!$D$1:$H$1,1,MOD(ROW(A223)-1,5)+1)</f>
        <v>Motor_Total</v>
      </c>
      <c r="D224" s="90">
        <f aca="1">IF(INDEX(Raw_GI_Council!$D$2:$H$100,ROUNDUP(ROW(A223)/5,0),MOD(ROW(A223)-1,5)+1)="-",0,INDEX(Raw_GI_Council!$D$2:$H$100,ROUNDUP(ROW(A223)/5,0),MOD(ROW(A223)-1,5)+1))</f>
        <v>434.100000000000023</v>
      </c>
      <c r="E224" s="56" t="str">
        <f>"GI Council"</f>
        <v>GI Council</v>
      </c>
    </row>
    <row r="225" spans="1:5">
      <c r="A225" s="56" t="str">
        <f aca="1">INDEX(Raw_GI_Council!$B$2:$B$100,ROUNDUP(ROW(A224)/5,0))</f>
        <v>Universal Sompo General Insurance Co Ltd</v>
      </c>
      <c r="B225" s="56" t="str">
        <f aca="1">INDEX(Raw_GI_Council!$C$2:$C$100,ROUNDUP(ROW(A224)/5,0))</f>
        <v>April-26</v>
      </c>
      <c r="C225" s="56" t="str">
        <f aca="1">INDEX(Raw_GI_Council!$D$1:$H$1,1,MOD(ROW(A224)-1,5)+1)</f>
        <v>Health</v>
      </c>
      <c r="D225" s="90">
        <f aca="1">IF(INDEX(Raw_GI_Council!$D$2:$H$100,ROUNDUP(ROW(A224)/5,0),MOD(ROW(A224)-1,5)+1)="-",0,INDEX(Raw_GI_Council!$D$2:$H$100,ROUNDUP(ROW(A224)/5,0),MOD(ROW(A224)-1,5)+1))</f>
        <v>154.280000000000001</v>
      </c>
      <c r="E225" s="56" t="str">
        <f>"GI Council"</f>
        <v>GI Council</v>
      </c>
    </row>
    <row r="226" spans="1:5">
      <c r="A226" s="56" t="str">
        <f aca="1">INDEX(Raw_GI_Council!$B$2:$B$100,ROUNDUP(ROW(A225)/5,0))</f>
        <v>Universal Sompo General Insurance Co Ltd</v>
      </c>
      <c r="B226" s="56" t="str">
        <f aca="1">INDEX(Raw_GI_Council!$C$2:$C$100,ROUNDUP(ROW(A225)/5,0))</f>
        <v>April-26</v>
      </c>
      <c r="C226" s="56" t="str">
        <f aca="1">INDEX(Raw_GI_Council!$D$1:$H$1,1,MOD(ROW(A225)-1,5)+1)</f>
        <v>Grand_Total</v>
      </c>
      <c r="D226" s="90">
        <f aca="1">IF(INDEX(Raw_GI_Council!$D$2:$H$100,ROUNDUP(ROW(A225)/5,0),MOD(ROW(A225)-1,5)+1)="-",0,INDEX(Raw_GI_Council!$D$2:$H$100,ROUNDUP(ROW(A225)/5,0),MOD(ROW(A225)-1,5)+1))</f>
        <v>695.549999999999955</v>
      </c>
      <c r="E226" s="56" t="str">
        <f>"GI Council"</f>
        <v>GI Council</v>
      </c>
    </row>
    <row r="227" spans="1:5">
      <c r="A227" s="56" t="str">
        <f aca="1">INDEX(Raw_GI_Council!$B$2:$B$100,ROUNDUP(ROW(A226)/5,0))</f>
        <v>Universal Sompo General Insurance Co Ltd</v>
      </c>
      <c r="B227" s="56" t="str">
        <f aca="1">INDEX(Raw_GI_Council!$C$2:$C$100,ROUNDUP(ROW(A226)/5,0))</f>
        <v>April-25</v>
      </c>
      <c r="C227" s="56" t="str">
        <f aca="1">INDEX(Raw_GI_Council!$D$1:$H$1,1,MOD(ROW(A226)-1,5)+1)</f>
        <v>Fire</v>
      </c>
      <c r="D227" s="90">
        <f aca="1">IF(INDEX(Raw_GI_Council!$D$2:$H$100,ROUNDUP(ROW(A226)/5,0),MOD(ROW(A226)-1,5)+1)="-",0,INDEX(Raw_GI_Council!$D$2:$H$100,ROUNDUP(ROW(A226)/5,0),MOD(ROW(A226)-1,5)+1))</f>
        <v>113.110000000000014</v>
      </c>
      <c r="E227" s="56" t="str">
        <f>"GI Council"</f>
        <v>GI Council</v>
      </c>
    </row>
    <row r="228" spans="1:5">
      <c r="A228" s="56" t="str">
        <f aca="1">INDEX(Raw_GI_Council!$B$2:$B$100,ROUNDUP(ROW(A227)/5,0))</f>
        <v>Universal Sompo General Insurance Co Ltd</v>
      </c>
      <c r="B228" s="56" t="str">
        <f aca="1">INDEX(Raw_GI_Council!$C$2:$C$100,ROUNDUP(ROW(A227)/5,0))</f>
        <v>April-25</v>
      </c>
      <c r="C228" s="56" t="str">
        <f aca="1">INDEX(Raw_GI_Council!$D$1:$H$1,1,MOD(ROW(A227)-1,5)+1)</f>
        <v>Marine_Total</v>
      </c>
      <c r="D228" s="90">
        <f aca="1">IF(INDEX(Raw_GI_Council!$D$2:$H$100,ROUNDUP(ROW(A227)/5,0),MOD(ROW(A227)-1,5)+1)="-",0,INDEX(Raw_GI_Council!$D$2:$H$100,ROUNDUP(ROW(A227)/5,0),MOD(ROW(A227)-1,5)+1))</f>
        <v>9.59999999999999964</v>
      </c>
      <c r="E228" s="56" t="str">
        <f>"GI Council"</f>
        <v>GI Council</v>
      </c>
    </row>
    <row r="229" spans="1:5">
      <c r="A229" s="56" t="str">
        <f aca="1">INDEX(Raw_GI_Council!$B$2:$B$100,ROUNDUP(ROW(A228)/5,0))</f>
        <v>Universal Sompo General Insurance Co Ltd</v>
      </c>
      <c r="B229" s="56" t="str">
        <f aca="1">INDEX(Raw_GI_Council!$C$2:$C$100,ROUNDUP(ROW(A228)/5,0))</f>
        <v>April-25</v>
      </c>
      <c r="C229" s="56" t="str">
        <f aca="1">INDEX(Raw_GI_Council!$D$1:$H$1,1,MOD(ROW(A228)-1,5)+1)</f>
        <v>Motor_Total</v>
      </c>
      <c r="D229" s="90">
        <f aca="1">IF(INDEX(Raw_GI_Council!$D$2:$H$100,ROUNDUP(ROW(A228)/5,0),MOD(ROW(A228)-1,5)+1)="-",0,INDEX(Raw_GI_Council!$D$2:$H$100,ROUNDUP(ROW(A228)/5,0),MOD(ROW(A228)-1,5)+1))</f>
        <v>168.430000000000007</v>
      </c>
      <c r="E229" s="56" t="str">
        <f>"GI Council"</f>
        <v>GI Council</v>
      </c>
    </row>
    <row r="230" spans="1:5">
      <c r="A230" s="56" t="str">
        <f aca="1">INDEX(Raw_GI_Council!$B$2:$B$100,ROUNDUP(ROW(A229)/5,0))</f>
        <v>Universal Sompo General Insurance Co Ltd</v>
      </c>
      <c r="B230" s="56" t="str">
        <f aca="1">INDEX(Raw_GI_Council!$C$2:$C$100,ROUNDUP(ROW(A229)/5,0))</f>
        <v>April-25</v>
      </c>
      <c r="C230" s="56" t="str">
        <f aca="1">INDEX(Raw_GI_Council!$D$1:$H$1,1,MOD(ROW(A229)-1,5)+1)</f>
        <v>Health</v>
      </c>
      <c r="D230" s="90">
        <f aca="1">IF(INDEX(Raw_GI_Council!$D$2:$H$100,ROUNDUP(ROW(A229)/5,0),MOD(ROW(A229)-1,5)+1)="-",0,INDEX(Raw_GI_Council!$D$2:$H$100,ROUNDUP(ROW(A229)/5,0),MOD(ROW(A229)-1,5)+1))</f>
        <v>137.629999999999995</v>
      </c>
      <c r="E230" s="56" t="str">
        <f>"GI Council"</f>
        <v>GI Council</v>
      </c>
    </row>
    <row r="231" spans="1:5">
      <c r="A231" s="56" t="str">
        <f aca="1">INDEX(Raw_GI_Council!$B$2:$B$100,ROUNDUP(ROW(A230)/5,0))</f>
        <v>Universal Sompo General Insurance Co Ltd</v>
      </c>
      <c r="B231" s="56" t="str">
        <f aca="1">INDEX(Raw_GI_Council!$C$2:$C$100,ROUNDUP(ROW(A230)/5,0))</f>
        <v>April-25</v>
      </c>
      <c r="C231" s="56" t="str">
        <f aca="1">INDEX(Raw_GI_Council!$D$1:$H$1,1,MOD(ROW(A230)-1,5)+1)</f>
        <v>Grand_Total</v>
      </c>
      <c r="D231" s="90">
        <f aca="1">IF(INDEX(Raw_GI_Council!$D$2:$H$100,ROUNDUP(ROW(A230)/5,0),MOD(ROW(A230)-1,5)+1)="-",0,INDEX(Raw_GI_Council!$D$2:$H$100,ROUNDUP(ROW(A230)/5,0),MOD(ROW(A230)-1,5)+1))</f>
        <v>472.829999999999984</v>
      </c>
      <c r="E231" s="56" t="str">
        <f>"GI Council"</f>
        <v>GI Council</v>
      </c>
    </row>
    <row r="232" spans="1:5">
      <c r="A232" s="56" t="str">
        <f aca="1">INDEX(Raw_GI_Council!$B$2:$B$100,ROUNDUP(ROW(A231)/5,0))</f>
        <v>Zuno General Insurance Co Ltd</v>
      </c>
      <c r="B232" s="56" t="str">
        <f aca="1">INDEX(Raw_GI_Council!$C$2:$C$100,ROUNDUP(ROW(A231)/5,0))</f>
        <v>April-26</v>
      </c>
      <c r="C232" s="56" t="str">
        <f aca="1">INDEX(Raw_GI_Council!$D$1:$H$1,1,MOD(ROW(A231)-1,5)+1)</f>
        <v>Fire</v>
      </c>
      <c r="D232" s="90">
        <f aca="1">IF(INDEX(Raw_GI_Council!$D$2:$H$100,ROUNDUP(ROW(A231)/5,0),MOD(ROW(A231)-1,5)+1)="-",0,INDEX(Raw_GI_Council!$D$2:$H$100,ROUNDUP(ROW(A231)/5,0),MOD(ROW(A231)-1,5)+1))</f>
        <v>10.8000000000000007</v>
      </c>
      <c r="E232" s="56" t="str">
        <f>"GI Council"</f>
        <v>GI Council</v>
      </c>
    </row>
    <row r="233" spans="1:5">
      <c r="A233" s="56" t="str">
        <f aca="1">INDEX(Raw_GI_Council!$B$2:$B$100,ROUNDUP(ROW(A232)/5,0))</f>
        <v>Zuno General Insurance Co Ltd</v>
      </c>
      <c r="B233" s="56" t="str">
        <f aca="1">INDEX(Raw_GI_Council!$C$2:$C$100,ROUNDUP(ROW(A232)/5,0))</f>
        <v>April-26</v>
      </c>
      <c r="C233" s="56" t="str">
        <f aca="1">INDEX(Raw_GI_Council!$D$1:$H$1,1,MOD(ROW(A232)-1,5)+1)</f>
        <v>Marine_Total</v>
      </c>
      <c r="D233" s="90">
        <f aca="1">IF(INDEX(Raw_GI_Council!$D$2:$H$100,ROUNDUP(ROW(A232)/5,0),MOD(ROW(A232)-1,5)+1)="-",0,INDEX(Raw_GI_Council!$D$2:$H$100,ROUNDUP(ROW(A232)/5,0),MOD(ROW(A232)-1,5)+1))</f>
        <v>0.1</v>
      </c>
      <c r="E233" s="56" t="str">
        <f>"GI Council"</f>
        <v>GI Council</v>
      </c>
    </row>
    <row r="234" spans="1:5">
      <c r="A234" s="56" t="str">
        <f aca="1">INDEX(Raw_GI_Council!$B$2:$B$100,ROUNDUP(ROW(A233)/5,0))</f>
        <v>Zuno General Insurance Co Ltd</v>
      </c>
      <c r="B234" s="56" t="str">
        <f aca="1">INDEX(Raw_GI_Council!$C$2:$C$100,ROUNDUP(ROW(A233)/5,0))</f>
        <v>April-26</v>
      </c>
      <c r="C234" s="56" t="str">
        <f aca="1">INDEX(Raw_GI_Council!$D$1:$H$1,1,MOD(ROW(A233)-1,5)+1)</f>
        <v>Motor_Total</v>
      </c>
      <c r="D234" s="90">
        <f aca="1">IF(INDEX(Raw_GI_Council!$D$2:$H$100,ROUNDUP(ROW(A233)/5,0),MOD(ROW(A233)-1,5)+1)="-",0,INDEX(Raw_GI_Council!$D$2:$H$100,ROUNDUP(ROW(A233)/5,0),MOD(ROW(A233)-1,5)+1))</f>
        <v>64.8299999999999983</v>
      </c>
      <c r="E234" s="56" t="str">
        <f>"GI Council"</f>
        <v>GI Council</v>
      </c>
    </row>
    <row r="235" spans="1:5">
      <c r="A235" s="56" t="str">
        <f aca="1">INDEX(Raw_GI_Council!$B$2:$B$100,ROUNDUP(ROW(A234)/5,0))</f>
        <v>Zuno General Insurance Co Ltd</v>
      </c>
      <c r="B235" s="56" t="str">
        <f aca="1">INDEX(Raw_GI_Council!$C$2:$C$100,ROUNDUP(ROW(A234)/5,0))</f>
        <v>April-26</v>
      </c>
      <c r="C235" s="56" t="str">
        <f aca="1">INDEX(Raw_GI_Council!$D$1:$H$1,1,MOD(ROW(A234)-1,5)+1)</f>
        <v>Health</v>
      </c>
      <c r="D235" s="90">
        <f aca="1">IF(INDEX(Raw_GI_Council!$D$2:$H$100,ROUNDUP(ROW(A234)/5,0),MOD(ROW(A234)-1,5)+1)="-",0,INDEX(Raw_GI_Council!$D$2:$H$100,ROUNDUP(ROW(A234)/5,0),MOD(ROW(A234)-1,5)+1))</f>
        <v>39.3400000000000034</v>
      </c>
      <c r="E235" s="56" t="str">
        <f>"GI Council"</f>
        <v>GI Council</v>
      </c>
    </row>
    <row r="236" spans="1:5">
      <c r="A236" s="56" t="str">
        <f aca="1">INDEX(Raw_GI_Council!$B$2:$B$100,ROUNDUP(ROW(A235)/5,0))</f>
        <v>Zuno General Insurance Co Ltd</v>
      </c>
      <c r="B236" s="56" t="str">
        <f aca="1">INDEX(Raw_GI_Council!$C$2:$C$100,ROUNDUP(ROW(A235)/5,0))</f>
        <v>April-26</v>
      </c>
      <c r="C236" s="56" t="str">
        <f aca="1">INDEX(Raw_GI_Council!$D$1:$H$1,1,MOD(ROW(A235)-1,5)+1)</f>
        <v>Grand_Total</v>
      </c>
      <c r="D236" s="90">
        <f aca="1">IF(INDEX(Raw_GI_Council!$D$2:$H$100,ROUNDUP(ROW(A235)/5,0),MOD(ROW(A235)-1,5)+1)="-",0,INDEX(Raw_GI_Council!$D$2:$H$100,ROUNDUP(ROW(A235)/5,0),MOD(ROW(A235)-1,5)+1))</f>
        <v>141.77000000000001</v>
      </c>
      <c r="E236" s="56" t="str">
        <f>"GI Council"</f>
        <v>GI Council</v>
      </c>
    </row>
    <row r="237" spans="1:5">
      <c r="A237" s="56" t="str">
        <f aca="1">INDEX(Raw_GI_Council!$B$2:$B$100,ROUNDUP(ROW(A236)/5,0))</f>
        <v>Zuno General Insurance Co Ltd</v>
      </c>
      <c r="B237" s="56" t="str">
        <f aca="1">INDEX(Raw_GI_Council!$C$2:$C$100,ROUNDUP(ROW(A236)/5,0))</f>
        <v>April-25</v>
      </c>
      <c r="C237" s="56" t="str">
        <f aca="1">INDEX(Raw_GI_Council!$D$1:$H$1,1,MOD(ROW(A236)-1,5)+1)</f>
        <v>Fire</v>
      </c>
      <c r="D237" s="90">
        <f aca="1">IF(INDEX(Raw_GI_Council!$D$2:$H$100,ROUNDUP(ROW(A236)/5,0),MOD(ROW(A236)-1,5)+1)="-",0,INDEX(Raw_GI_Council!$D$2:$H$100,ROUNDUP(ROW(A236)/5,0),MOD(ROW(A236)-1,5)+1))</f>
        <v>13.8300000000000001</v>
      </c>
      <c r="E237" s="56" t="str">
        <f>"GI Council"</f>
        <v>GI Council</v>
      </c>
    </row>
    <row r="238" spans="1:5">
      <c r="A238" s="56" t="str">
        <f aca="1">INDEX(Raw_GI_Council!$B$2:$B$100,ROUNDUP(ROW(A237)/5,0))</f>
        <v>Zuno General Insurance Co Ltd</v>
      </c>
      <c r="B238" s="56" t="str">
        <f aca="1">INDEX(Raw_GI_Council!$C$2:$C$100,ROUNDUP(ROW(A237)/5,0))</f>
        <v>April-25</v>
      </c>
      <c r="C238" s="56" t="str">
        <f aca="1">INDEX(Raw_GI_Council!$D$1:$H$1,1,MOD(ROW(A237)-1,5)+1)</f>
        <v>Marine_Total</v>
      </c>
      <c r="D238" s="90">
        <f aca="1">IF(INDEX(Raw_GI_Council!$D$2:$H$100,ROUNDUP(ROW(A237)/5,0),MOD(ROW(A237)-1,5)+1)="-",0,INDEX(Raw_GI_Council!$D$2:$H$100,ROUNDUP(ROW(A237)/5,0),MOD(ROW(A237)-1,5)+1))</f>
        <v>0</v>
      </c>
      <c r="E238" s="56" t="str">
        <f>"GI Council"</f>
        <v>GI Council</v>
      </c>
    </row>
    <row r="239" spans="1:5">
      <c r="A239" s="56" t="str">
        <f aca="1">INDEX(Raw_GI_Council!$B$2:$B$100,ROUNDUP(ROW(A238)/5,0))</f>
        <v>Zuno General Insurance Co Ltd</v>
      </c>
      <c r="B239" s="56" t="str">
        <f aca="1">INDEX(Raw_GI_Council!$C$2:$C$100,ROUNDUP(ROW(A238)/5,0))</f>
        <v>April-25</v>
      </c>
      <c r="C239" s="56" t="str">
        <f aca="1">INDEX(Raw_GI_Council!$D$1:$H$1,1,MOD(ROW(A238)-1,5)+1)</f>
        <v>Motor_Total</v>
      </c>
      <c r="D239" s="90">
        <f aca="1">IF(INDEX(Raw_GI_Council!$D$2:$H$100,ROUNDUP(ROW(A238)/5,0),MOD(ROW(A238)-1,5)+1)="-",0,INDEX(Raw_GI_Council!$D$2:$H$100,ROUNDUP(ROW(A238)/5,0),MOD(ROW(A238)-1,5)+1))</f>
        <v>42.0700000000000003</v>
      </c>
      <c r="E239" s="56" t="str">
        <f>"GI Council"</f>
        <v>GI Council</v>
      </c>
    </row>
    <row r="240" spans="1:5">
      <c r="A240" s="56" t="str">
        <f aca="1">INDEX(Raw_GI_Council!$B$2:$B$100,ROUNDUP(ROW(A239)/5,0))</f>
        <v>Zuno General Insurance Co Ltd</v>
      </c>
      <c r="B240" s="56" t="str">
        <f aca="1">INDEX(Raw_GI_Council!$C$2:$C$100,ROUNDUP(ROW(A239)/5,0))</f>
        <v>April-25</v>
      </c>
      <c r="C240" s="56" t="str">
        <f aca="1">INDEX(Raw_GI_Council!$D$1:$H$1,1,MOD(ROW(A239)-1,5)+1)</f>
        <v>Health</v>
      </c>
      <c r="D240" s="90">
        <f aca="1">IF(INDEX(Raw_GI_Council!$D$2:$H$100,ROUNDUP(ROW(A239)/5,0),MOD(ROW(A239)-1,5)+1)="-",0,INDEX(Raw_GI_Council!$D$2:$H$100,ROUNDUP(ROW(A239)/5,0),MOD(ROW(A239)-1,5)+1))</f>
        <v>26.1799999999999997</v>
      </c>
      <c r="E240" s="56" t="str">
        <f>"GI Council"</f>
        <v>GI Council</v>
      </c>
    </row>
    <row r="241" spans="1:5">
      <c r="A241" s="56" t="str">
        <f aca="1">INDEX(Raw_GI_Council!$B$2:$B$100,ROUNDUP(ROW(A240)/5,0))</f>
        <v>Zuno General Insurance Co Ltd</v>
      </c>
      <c r="B241" s="56" t="str">
        <f aca="1">INDEX(Raw_GI_Council!$C$2:$C$100,ROUNDUP(ROW(A240)/5,0))</f>
        <v>April-25</v>
      </c>
      <c r="C241" s="56" t="str">
        <f aca="1">INDEX(Raw_GI_Council!$D$1:$H$1,1,MOD(ROW(A240)-1,5)+1)</f>
        <v>Grand_Total</v>
      </c>
      <c r="D241" s="90">
        <f aca="1">IF(INDEX(Raw_GI_Council!$D$2:$H$100,ROUNDUP(ROW(A240)/5,0),MOD(ROW(A240)-1,5)+1)="-",0,INDEX(Raw_GI_Council!$D$2:$H$100,ROUNDUP(ROW(A240)/5,0),MOD(ROW(A240)-1,5)+1))</f>
        <v>86.0799999999999983</v>
      </c>
      <c r="E241" s="56" t="str">
        <f>"GI Council"</f>
        <v>GI Council</v>
      </c>
    </row>
    <row r="242" spans="1:5">
      <c r="A242" s="56" t="str">
        <f aca="1">INDEX(Raw_GI_Council!$B$2:$B$100,ROUNDUP(ROW(A241)/5,0))</f>
        <v>Zurich Kotak Mahindra General Insurance Co Ltd</v>
      </c>
      <c r="B242" s="56" t="str">
        <f aca="1">INDEX(Raw_GI_Council!$C$2:$C$100,ROUNDUP(ROW(A241)/5,0))</f>
        <v>April-26</v>
      </c>
      <c r="C242" s="56" t="str">
        <f aca="1">INDEX(Raw_GI_Council!$D$1:$H$1,1,MOD(ROW(A241)-1,5)+1)</f>
        <v>Fire</v>
      </c>
      <c r="D242" s="90">
        <f aca="1">IF(INDEX(Raw_GI_Council!$D$2:$H$100,ROUNDUP(ROW(A241)/5,0),MOD(ROW(A241)-1,5)+1)="-",0,INDEX(Raw_GI_Council!$D$2:$H$100,ROUNDUP(ROW(A241)/5,0),MOD(ROW(A241)-1,5)+1))</f>
        <v>18.1999999999999993</v>
      </c>
      <c r="E242" s="56" t="str">
        <f>"GI Council"</f>
        <v>GI Council</v>
      </c>
    </row>
    <row r="243" spans="1:5">
      <c r="A243" s="56" t="str">
        <f aca="1">INDEX(Raw_GI_Council!$B$2:$B$100,ROUNDUP(ROW(A242)/5,0))</f>
        <v>Zurich Kotak Mahindra General Insurance Co Ltd</v>
      </c>
      <c r="B243" s="56" t="str">
        <f aca="1">INDEX(Raw_GI_Council!$C$2:$C$100,ROUNDUP(ROW(A242)/5,0))</f>
        <v>April-26</v>
      </c>
      <c r="C243" s="56" t="str">
        <f aca="1">INDEX(Raw_GI_Council!$D$1:$H$1,1,MOD(ROW(A242)-1,5)+1)</f>
        <v>Marine_Total</v>
      </c>
      <c r="D243" s="90">
        <f aca="1">IF(INDEX(Raw_GI_Council!$D$2:$H$100,ROUNDUP(ROW(A242)/5,0),MOD(ROW(A242)-1,5)+1)="-",0,INDEX(Raw_GI_Council!$D$2:$H$100,ROUNDUP(ROW(A242)/5,0),MOD(ROW(A242)-1,5)+1))</f>
        <v>17.3900000000000006</v>
      </c>
      <c r="E243" s="56" t="str">
        <f>"GI Council"</f>
        <v>GI Council</v>
      </c>
    </row>
    <row r="244" spans="1:5">
      <c r="A244" s="56" t="str">
        <f aca="1">INDEX(Raw_GI_Council!$B$2:$B$100,ROUNDUP(ROW(A243)/5,0))</f>
        <v>Zurich Kotak Mahindra General Insurance Co Ltd</v>
      </c>
      <c r="B244" s="56" t="str">
        <f aca="1">INDEX(Raw_GI_Council!$C$2:$C$100,ROUNDUP(ROW(A243)/5,0))</f>
        <v>April-26</v>
      </c>
      <c r="C244" s="56" t="str">
        <f aca="1">INDEX(Raw_GI_Council!$D$1:$H$1,1,MOD(ROW(A243)-1,5)+1)</f>
        <v>Motor_Total</v>
      </c>
      <c r="D244" s="90">
        <f aca="1">IF(INDEX(Raw_GI_Council!$D$2:$H$100,ROUNDUP(ROW(A243)/5,0),MOD(ROW(A243)-1,5)+1)="-",0,INDEX(Raw_GI_Council!$D$2:$H$100,ROUNDUP(ROW(A243)/5,0),MOD(ROW(A243)-1,5)+1))</f>
        <v>79.480000000000004</v>
      </c>
      <c r="E244" s="56" t="str">
        <f>"GI Council"</f>
        <v>GI Council</v>
      </c>
    </row>
    <row r="245" spans="1:5">
      <c r="A245" s="56" t="str">
        <f aca="1">INDEX(Raw_GI_Council!$B$2:$B$100,ROUNDUP(ROW(A244)/5,0))</f>
        <v>Zurich Kotak Mahindra General Insurance Co Ltd</v>
      </c>
      <c r="B245" s="56" t="str">
        <f aca="1">INDEX(Raw_GI_Council!$C$2:$C$100,ROUNDUP(ROW(A244)/5,0))</f>
        <v>April-26</v>
      </c>
      <c r="C245" s="56" t="str">
        <f aca="1">INDEX(Raw_GI_Council!$D$1:$H$1,1,MOD(ROW(A244)-1,5)+1)</f>
        <v>Health</v>
      </c>
      <c r="D245" s="90">
        <f aca="1">IF(INDEX(Raw_GI_Council!$D$2:$H$100,ROUNDUP(ROW(A244)/5,0),MOD(ROW(A244)-1,5)+1)="-",0,INDEX(Raw_GI_Council!$D$2:$H$100,ROUNDUP(ROW(A244)/5,0),MOD(ROW(A244)-1,5)+1))</f>
        <v>73.8299999999999983</v>
      </c>
      <c r="E245" s="56" t="str">
        <f>"GI Council"</f>
        <v>GI Council</v>
      </c>
    </row>
    <row r="246" spans="1:5">
      <c r="A246" s="56" t="str">
        <f aca="1">INDEX(Raw_GI_Council!$B$2:$B$100,ROUNDUP(ROW(A245)/5,0))</f>
        <v>Zurich Kotak Mahindra General Insurance Co Ltd</v>
      </c>
      <c r="B246" s="56" t="str">
        <f aca="1">INDEX(Raw_GI_Council!$C$2:$C$100,ROUNDUP(ROW(A245)/5,0))</f>
        <v>April-26</v>
      </c>
      <c r="C246" s="56" t="str">
        <f aca="1">INDEX(Raw_GI_Council!$D$1:$H$1,1,MOD(ROW(A245)-1,5)+1)</f>
        <v>Grand_Total</v>
      </c>
      <c r="D246" s="90">
        <f aca="1">IF(INDEX(Raw_GI_Council!$D$2:$H$100,ROUNDUP(ROW(A245)/5,0),MOD(ROW(A245)-1,5)+1)="-",0,INDEX(Raw_GI_Council!$D$2:$H$100,ROUNDUP(ROW(A245)/5,0),MOD(ROW(A245)-1,5)+1))</f>
        <v>210.879999999999995</v>
      </c>
      <c r="E246" s="56" t="str">
        <f>"GI Council"</f>
        <v>GI Council</v>
      </c>
    </row>
    <row r="247" spans="1:5">
      <c r="A247" s="56" t="str">
        <f aca="1">INDEX(Raw_GI_Council!$B$2:$B$100,ROUNDUP(ROW(A246)/5,0))</f>
        <v>Zurich Kotak Mahindra General Insurance Co Ltd</v>
      </c>
      <c r="B247" s="56" t="str">
        <f aca="1">INDEX(Raw_GI_Council!$C$2:$C$100,ROUNDUP(ROW(A246)/5,0))</f>
        <v>April-25</v>
      </c>
      <c r="C247" s="56" t="str">
        <f aca="1">INDEX(Raw_GI_Council!$D$1:$H$1,1,MOD(ROW(A246)-1,5)+1)</f>
        <v>Fire</v>
      </c>
      <c r="D247" s="90">
        <f aca="1">IF(INDEX(Raw_GI_Council!$D$2:$H$100,ROUNDUP(ROW(A246)/5,0),MOD(ROW(A246)-1,5)+1)="-",0,INDEX(Raw_GI_Council!$D$2:$H$100,ROUNDUP(ROW(A246)/5,0),MOD(ROW(A246)-1,5)+1))</f>
        <v>7.01999999999999957</v>
      </c>
      <c r="E247" s="56" t="str">
        <f>"GI Council"</f>
        <v>GI Council</v>
      </c>
    </row>
    <row r="248" spans="1:5">
      <c r="A248" s="56" t="str">
        <f aca="1">INDEX(Raw_GI_Council!$B$2:$B$100,ROUNDUP(ROW(A247)/5,0))</f>
        <v>Zurich Kotak Mahindra General Insurance Co Ltd</v>
      </c>
      <c r="B248" s="56" t="str">
        <f aca="1">INDEX(Raw_GI_Council!$C$2:$C$100,ROUNDUP(ROW(A247)/5,0))</f>
        <v>April-25</v>
      </c>
      <c r="C248" s="56" t="str">
        <f aca="1">INDEX(Raw_GI_Council!$D$1:$H$1,1,MOD(ROW(A247)-1,5)+1)</f>
        <v>Marine_Total</v>
      </c>
      <c r="D248" s="90">
        <f aca="1">IF(INDEX(Raw_GI_Council!$D$2:$H$100,ROUNDUP(ROW(A247)/5,0),MOD(ROW(A247)-1,5)+1)="-",0,INDEX(Raw_GI_Council!$D$2:$H$100,ROUNDUP(ROW(A247)/5,0),MOD(ROW(A247)-1,5)+1))</f>
        <v>2.16000000000000014</v>
      </c>
      <c r="E248" s="56" t="str">
        <f>"GI Council"</f>
        <v>GI Council</v>
      </c>
    </row>
    <row r="249" spans="1:5">
      <c r="A249" s="56" t="str">
        <f aca="1">INDEX(Raw_GI_Council!$B$2:$B$100,ROUNDUP(ROW(A248)/5,0))</f>
        <v>Zurich Kotak Mahindra General Insurance Co Ltd</v>
      </c>
      <c r="B249" s="56" t="str">
        <f aca="1">INDEX(Raw_GI_Council!$C$2:$C$100,ROUNDUP(ROW(A248)/5,0))</f>
        <v>April-25</v>
      </c>
      <c r="C249" s="56" t="str">
        <f aca="1">INDEX(Raw_GI_Council!$D$1:$H$1,1,MOD(ROW(A248)-1,5)+1)</f>
        <v>Motor_Total</v>
      </c>
      <c r="D249" s="90">
        <f aca="1">IF(INDEX(Raw_GI_Council!$D$2:$H$100,ROUNDUP(ROW(A248)/5,0),MOD(ROW(A248)-1,5)+1)="-",0,INDEX(Raw_GI_Council!$D$2:$H$100,ROUNDUP(ROW(A248)/5,0),MOD(ROW(A248)-1,5)+1))</f>
        <v>82.0999999999999801</v>
      </c>
      <c r="E249" s="56" t="str">
        <f>"GI Council"</f>
        <v>GI Council</v>
      </c>
    </row>
    <row r="250" spans="1:5">
      <c r="A250" s="56" t="str">
        <f aca="1">INDEX(Raw_GI_Council!$B$2:$B$100,ROUNDUP(ROW(A249)/5,0))</f>
        <v>Zurich Kotak Mahindra General Insurance Co Ltd</v>
      </c>
      <c r="B250" s="56" t="str">
        <f aca="1">INDEX(Raw_GI_Council!$C$2:$C$100,ROUNDUP(ROW(A249)/5,0))</f>
        <v>April-25</v>
      </c>
      <c r="C250" s="56" t="str">
        <f aca="1">INDEX(Raw_GI_Council!$D$1:$H$1,1,MOD(ROW(A249)-1,5)+1)</f>
        <v>Health</v>
      </c>
      <c r="D250" s="90">
        <f aca="1">IF(INDEX(Raw_GI_Council!$D$2:$H$100,ROUNDUP(ROW(A249)/5,0),MOD(ROW(A249)-1,5)+1)="-",0,INDEX(Raw_GI_Council!$D$2:$H$100,ROUNDUP(ROW(A249)/5,0),MOD(ROW(A249)-1,5)+1))</f>
        <v>130.800000000000011</v>
      </c>
      <c r="E250" s="56" t="str">
        <f>"GI Council"</f>
        <v>GI Council</v>
      </c>
    </row>
    <row r="251" spans="1:5">
      <c r="A251" s="56" t="str">
        <f aca="1">INDEX(Raw_GI_Council!$B$2:$B$100,ROUNDUP(ROW(A250)/5,0))</f>
        <v>Zurich Kotak Mahindra General Insurance Co Ltd</v>
      </c>
      <c r="B251" s="56" t="str">
        <f aca="1">INDEX(Raw_GI_Council!$C$2:$C$100,ROUNDUP(ROW(A250)/5,0))</f>
        <v>April-25</v>
      </c>
      <c r="C251" s="56" t="str">
        <f aca="1">INDEX(Raw_GI_Council!$D$1:$H$1,1,MOD(ROW(A250)-1,5)+1)</f>
        <v>Grand_Total</v>
      </c>
      <c r="D251" s="90">
        <f aca="1">IF(INDEX(Raw_GI_Council!$D$2:$H$100,ROUNDUP(ROW(A250)/5,0),MOD(ROW(A250)-1,5)+1)="-",0,INDEX(Raw_GI_Council!$D$2:$H$100,ROUNDUP(ROW(A250)/5,0),MOD(ROW(A250)-1,5)+1))</f>
        <v>233.659999999999997</v>
      </c>
      <c r="E251" s="56" t="str">
        <f>"GI Council"</f>
        <v>GI Council</v>
      </c>
    </row>
    <row r="252" spans="1:5">
      <c r="A252" s="56" t="str">
        <f aca="1">INDEX(Raw_GI_Council!$B$2:$B$100,ROUNDUP(ROW(A251)/5,0))</f>
        <v>Niva bupa health insurance company limited</v>
      </c>
      <c r="B252" s="56" t="str">
        <f aca="1">INDEX(Raw_GI_Council!$C$2:$C$100,ROUNDUP(ROW(A251)/5,0))</f>
        <v>April-26</v>
      </c>
      <c r="C252" s="56" t="str">
        <f aca="1">INDEX(Raw_GI_Council!$D$1:$H$1,1,MOD(ROW(A251)-1,5)+1)</f>
        <v>Fire</v>
      </c>
      <c r="D252" s="90">
        <f aca="1">IF(INDEX(Raw_GI_Council!$D$2:$H$100,ROUNDUP(ROW(A251)/5,0),MOD(ROW(A251)-1,5)+1)="-",0,INDEX(Raw_GI_Council!$D$2:$H$100,ROUNDUP(ROW(A251)/5,0),MOD(ROW(A251)-1,5)+1))</f>
        <v>0</v>
      </c>
      <c r="E252" s="56" t="str">
        <f>"GI Council"</f>
        <v>GI Council</v>
      </c>
    </row>
    <row r="253" spans="1:5">
      <c r="A253" s="56" t="str">
        <f aca="1">INDEX(Raw_GI_Council!$B$2:$B$100,ROUNDUP(ROW(A252)/5,0))</f>
        <v>Niva bupa health insurance company limited</v>
      </c>
      <c r="B253" s="56" t="str">
        <f aca="1">INDEX(Raw_GI_Council!$C$2:$C$100,ROUNDUP(ROW(A252)/5,0))</f>
        <v>April-26</v>
      </c>
      <c r="C253" s="56" t="str">
        <f aca="1">INDEX(Raw_GI_Council!$D$1:$H$1,1,MOD(ROW(A252)-1,5)+1)</f>
        <v>Marine_Total</v>
      </c>
      <c r="D253" s="90">
        <f aca="1">IF(INDEX(Raw_GI_Council!$D$2:$H$100,ROUNDUP(ROW(A252)/5,0),MOD(ROW(A252)-1,5)+1)="-",0,INDEX(Raw_GI_Council!$D$2:$H$100,ROUNDUP(ROW(A252)/5,0),MOD(ROW(A252)-1,5)+1))</f>
        <v>0</v>
      </c>
      <c r="E253" s="56" t="str">
        <f>"GI Council"</f>
        <v>GI Council</v>
      </c>
    </row>
    <row r="254" spans="1:5">
      <c r="A254" s="56" t="str">
        <f aca="1">INDEX(Raw_GI_Council!$B$2:$B$100,ROUNDUP(ROW(A253)/5,0))</f>
        <v>Niva bupa health insurance company limited</v>
      </c>
      <c r="B254" s="56" t="str">
        <f aca="1">INDEX(Raw_GI_Council!$C$2:$C$100,ROUNDUP(ROW(A253)/5,0))</f>
        <v>April-26</v>
      </c>
      <c r="C254" s="56" t="str">
        <f aca="1">INDEX(Raw_GI_Council!$D$1:$H$1,1,MOD(ROW(A253)-1,5)+1)</f>
        <v>Motor_Total</v>
      </c>
      <c r="D254" s="90">
        <f aca="1">IF(INDEX(Raw_GI_Council!$D$2:$H$100,ROUNDUP(ROW(A253)/5,0),MOD(ROW(A253)-1,5)+1)="-",0,INDEX(Raw_GI_Council!$D$2:$H$100,ROUNDUP(ROW(A253)/5,0),MOD(ROW(A253)-1,5)+1))</f>
        <v>0</v>
      </c>
      <c r="E254" s="56" t="str">
        <f>"GI Council"</f>
        <v>GI Council</v>
      </c>
    </row>
    <row r="255" spans="1:5">
      <c r="A255" s="56" t="str">
        <f aca="1">INDEX(Raw_GI_Council!$B$2:$B$100,ROUNDUP(ROW(A254)/5,0))</f>
        <v>Niva bupa health insurance company limited</v>
      </c>
      <c r="B255" s="56" t="str">
        <f aca="1">INDEX(Raw_GI_Council!$C$2:$C$100,ROUNDUP(ROW(A254)/5,0))</f>
        <v>April-26</v>
      </c>
      <c r="C255" s="56" t="str">
        <f aca="1">INDEX(Raw_GI_Council!$D$1:$H$1,1,MOD(ROW(A254)-1,5)+1)</f>
        <v>Health</v>
      </c>
      <c r="D255" s="90">
        <f aca="1">IF(INDEX(Raw_GI_Council!$D$2:$H$100,ROUNDUP(ROW(A254)/5,0),MOD(ROW(A254)-1,5)+1)="-",0,INDEX(Raw_GI_Council!$D$2:$H$100,ROUNDUP(ROW(A254)/5,0),MOD(ROW(A254)-1,5)+1))</f>
        <v>620.450000000000045</v>
      </c>
      <c r="E255" s="56" t="str">
        <f>"GI Council"</f>
        <v>GI Council</v>
      </c>
    </row>
    <row r="256" spans="1:5">
      <c r="A256" s="56" t="str">
        <f aca="1">INDEX(Raw_GI_Council!$B$2:$B$100,ROUNDUP(ROW(A255)/5,0))</f>
        <v>Niva bupa health insurance company limited</v>
      </c>
      <c r="B256" s="56" t="str">
        <f aca="1">INDEX(Raw_GI_Council!$C$2:$C$100,ROUNDUP(ROW(A255)/5,0))</f>
        <v>April-26</v>
      </c>
      <c r="C256" s="56" t="str">
        <f aca="1">INDEX(Raw_GI_Council!$D$1:$H$1,1,MOD(ROW(A255)-1,5)+1)</f>
        <v>Grand_Total</v>
      </c>
      <c r="D256" s="90">
        <f aca="1">IF(INDEX(Raw_GI_Council!$D$2:$H$100,ROUNDUP(ROW(A255)/5,0),MOD(ROW(A255)-1,5)+1)="-",0,INDEX(Raw_GI_Council!$D$2:$H$100,ROUNDUP(ROW(A255)/5,0),MOD(ROW(A255)-1,5)+1))</f>
        <v>629.259999999999991</v>
      </c>
      <c r="E256" s="56" t="str">
        <f>"GI Council"</f>
        <v>GI Council</v>
      </c>
    </row>
    <row r="257" spans="1:5">
      <c r="A257" s="56" t="str">
        <f aca="1">INDEX(Raw_GI_Council!$B$2:$B$100,ROUNDUP(ROW(A256)/5,0))</f>
        <v>Niva bupa health insurance company limited</v>
      </c>
      <c r="B257" s="56" t="str">
        <f aca="1">INDEX(Raw_GI_Council!$C$2:$C$100,ROUNDUP(ROW(A256)/5,0))</f>
        <v>April-25</v>
      </c>
      <c r="C257" s="56" t="str">
        <f aca="1">INDEX(Raw_GI_Council!$D$1:$H$1,1,MOD(ROW(A256)-1,5)+1)</f>
        <v>Fire</v>
      </c>
      <c r="D257" s="90">
        <f aca="1">IF(INDEX(Raw_GI_Council!$D$2:$H$100,ROUNDUP(ROW(A256)/5,0),MOD(ROW(A256)-1,5)+1)="-",0,INDEX(Raw_GI_Council!$D$2:$H$100,ROUNDUP(ROW(A256)/5,0),MOD(ROW(A256)-1,5)+1))</f>
        <v>0</v>
      </c>
      <c r="E257" s="56" t="str">
        <f>"GI Council"</f>
        <v>GI Council</v>
      </c>
    </row>
    <row r="258" spans="1:5">
      <c r="A258" s="56" t="str">
        <f aca="1">INDEX(Raw_GI_Council!$B$2:$B$100,ROUNDUP(ROW(A257)/5,0))</f>
        <v>Niva bupa health insurance company limited</v>
      </c>
      <c r="B258" s="56" t="str">
        <f aca="1">INDEX(Raw_GI_Council!$C$2:$C$100,ROUNDUP(ROW(A257)/5,0))</f>
        <v>April-25</v>
      </c>
      <c r="C258" s="56" t="str">
        <f aca="1">INDEX(Raw_GI_Council!$D$1:$H$1,1,MOD(ROW(A257)-1,5)+1)</f>
        <v>Marine_Total</v>
      </c>
      <c r="D258" s="90">
        <f aca="1">IF(INDEX(Raw_GI_Council!$D$2:$H$100,ROUNDUP(ROW(A257)/5,0),MOD(ROW(A257)-1,5)+1)="-",0,INDEX(Raw_GI_Council!$D$2:$H$100,ROUNDUP(ROW(A257)/5,0),MOD(ROW(A257)-1,5)+1))</f>
        <v>0</v>
      </c>
      <c r="E258" s="56" t="str">
        <f>"GI Council"</f>
        <v>GI Council</v>
      </c>
    </row>
    <row r="259" spans="1:5">
      <c r="A259" s="56" t="str">
        <f aca="1">INDEX(Raw_GI_Council!$B$2:$B$100,ROUNDUP(ROW(A258)/5,0))</f>
        <v>Niva bupa health insurance company limited</v>
      </c>
      <c r="B259" s="56" t="str">
        <f aca="1">INDEX(Raw_GI_Council!$C$2:$C$100,ROUNDUP(ROW(A258)/5,0))</f>
        <v>April-25</v>
      </c>
      <c r="C259" s="56" t="str">
        <f aca="1">INDEX(Raw_GI_Council!$D$1:$H$1,1,MOD(ROW(A258)-1,5)+1)</f>
        <v>Motor_Total</v>
      </c>
      <c r="D259" s="90">
        <f aca="1">IF(INDEX(Raw_GI_Council!$D$2:$H$100,ROUNDUP(ROW(A258)/5,0),MOD(ROW(A258)-1,5)+1)="-",0,INDEX(Raw_GI_Council!$D$2:$H$100,ROUNDUP(ROW(A258)/5,0),MOD(ROW(A258)-1,5)+1))</f>
        <v>0</v>
      </c>
      <c r="E259" s="56" t="str">
        <f>"GI Council"</f>
        <v>GI Council</v>
      </c>
    </row>
    <row r="260" spans="1:5">
      <c r="A260" s="56" t="str">
        <f aca="1">INDEX(Raw_GI_Council!$B$2:$B$100,ROUNDUP(ROW(A259)/5,0))</f>
        <v>Niva bupa health insurance company limited</v>
      </c>
      <c r="B260" s="56" t="str">
        <f aca="1">INDEX(Raw_GI_Council!$C$2:$C$100,ROUNDUP(ROW(A259)/5,0))</f>
        <v>April-25</v>
      </c>
      <c r="C260" s="56" t="str">
        <f aca="1">INDEX(Raw_GI_Council!$D$1:$H$1,1,MOD(ROW(A259)-1,5)+1)</f>
        <v>Health</v>
      </c>
      <c r="D260" s="90">
        <f aca="1">IF(INDEX(Raw_GI_Council!$D$2:$H$100,ROUNDUP(ROW(A259)/5,0),MOD(ROW(A259)-1,5)+1)="-",0,INDEX(Raw_GI_Council!$D$2:$H$100,ROUNDUP(ROW(A259)/5,0),MOD(ROW(A259)-1,5)+1))</f>
        <v>475.509999999999991</v>
      </c>
      <c r="E260" s="56" t="str">
        <f>"GI Council"</f>
        <v>GI Council</v>
      </c>
    </row>
    <row r="261" spans="1:5">
      <c r="A261" s="56" t="str">
        <f aca="1">INDEX(Raw_GI_Council!$B$2:$B$100,ROUNDUP(ROW(A260)/5,0))</f>
        <v>Niva bupa health insurance company limited</v>
      </c>
      <c r="B261" s="56" t="str">
        <f aca="1">INDEX(Raw_GI_Council!$C$2:$C$100,ROUNDUP(ROW(A260)/5,0))</f>
        <v>April-25</v>
      </c>
      <c r="C261" s="56" t="str">
        <f aca="1">INDEX(Raw_GI_Council!$D$1:$H$1,1,MOD(ROW(A260)-1,5)+1)</f>
        <v>Grand_Total</v>
      </c>
      <c r="D261" s="90">
        <f aca="1">IF(INDEX(Raw_GI_Council!$D$2:$H$100,ROUNDUP(ROW(A260)/5,0),MOD(ROW(A260)-1,5)+1)="-",0,INDEX(Raw_GI_Council!$D$2:$H$100,ROUNDUP(ROW(A260)/5,0),MOD(ROW(A260)-1,5)+1))</f>
        <v>483.069999999999993</v>
      </c>
      <c r="E261" s="56" t="str">
        <f>"GI Council"</f>
        <v>GI Council</v>
      </c>
    </row>
    <row r="262" spans="1:5">
      <c r="A262" s="56" t="str">
        <f aca="1">INDEX(Raw_GI_Council!$B$2:$B$100,ROUNDUP(ROW(A261)/5,0))</f>
        <v>Aditya Birla Health Insurance Co Ltd</v>
      </c>
      <c r="B262" s="56" t="str">
        <f aca="1">INDEX(Raw_GI_Council!$C$2:$C$100,ROUNDUP(ROW(A261)/5,0))</f>
        <v>April-26</v>
      </c>
      <c r="C262" s="56" t="str">
        <f aca="1">INDEX(Raw_GI_Council!$D$1:$H$1,1,MOD(ROW(A261)-1,5)+1)</f>
        <v>Fire</v>
      </c>
      <c r="D262" s="90">
        <f aca="1">IF(INDEX(Raw_GI_Council!$D$2:$H$100,ROUNDUP(ROW(A261)/5,0),MOD(ROW(A261)-1,5)+1)="-",0,INDEX(Raw_GI_Council!$D$2:$H$100,ROUNDUP(ROW(A261)/5,0),MOD(ROW(A261)-1,5)+1))</f>
        <v>0</v>
      </c>
      <c r="E262" s="56" t="str">
        <f>"GI Council"</f>
        <v>GI Council</v>
      </c>
    </row>
    <row r="263" spans="1:5">
      <c r="A263" s="56" t="str">
        <f aca="1">INDEX(Raw_GI_Council!$B$2:$B$100,ROUNDUP(ROW(A262)/5,0))</f>
        <v>Aditya Birla Health Insurance Co Ltd</v>
      </c>
      <c r="B263" s="56" t="str">
        <f aca="1">INDEX(Raw_GI_Council!$C$2:$C$100,ROUNDUP(ROW(A262)/5,0))</f>
        <v>April-26</v>
      </c>
      <c r="C263" s="56" t="str">
        <f aca="1">INDEX(Raw_GI_Council!$D$1:$H$1,1,MOD(ROW(A262)-1,5)+1)</f>
        <v>Marine_Total</v>
      </c>
      <c r="D263" s="90">
        <f aca="1">IF(INDEX(Raw_GI_Council!$D$2:$H$100,ROUNDUP(ROW(A262)/5,0),MOD(ROW(A262)-1,5)+1)="-",0,INDEX(Raw_GI_Council!$D$2:$H$100,ROUNDUP(ROW(A262)/5,0),MOD(ROW(A262)-1,5)+1))</f>
        <v>0</v>
      </c>
      <c r="E263" s="56" t="str">
        <f>"GI Council"</f>
        <v>GI Council</v>
      </c>
    </row>
    <row r="264" spans="1:5">
      <c r="A264" s="56" t="str">
        <f aca="1">INDEX(Raw_GI_Council!$B$2:$B$100,ROUNDUP(ROW(A263)/5,0))</f>
        <v>Aditya Birla Health Insurance Co Ltd</v>
      </c>
      <c r="B264" s="56" t="str">
        <f aca="1">INDEX(Raw_GI_Council!$C$2:$C$100,ROUNDUP(ROW(A263)/5,0))</f>
        <v>April-26</v>
      </c>
      <c r="C264" s="56" t="str">
        <f aca="1">INDEX(Raw_GI_Council!$D$1:$H$1,1,MOD(ROW(A263)-1,5)+1)</f>
        <v>Motor_Total</v>
      </c>
      <c r="D264" s="90">
        <f aca="1">IF(INDEX(Raw_GI_Council!$D$2:$H$100,ROUNDUP(ROW(A263)/5,0),MOD(ROW(A263)-1,5)+1)="-",0,INDEX(Raw_GI_Council!$D$2:$H$100,ROUNDUP(ROW(A263)/5,0),MOD(ROW(A263)-1,5)+1))</f>
        <v>0</v>
      </c>
      <c r="E264" s="56" t="str">
        <f>"GI Council"</f>
        <v>GI Council</v>
      </c>
    </row>
    <row r="265" spans="1:5">
      <c r="A265" s="56" t="str">
        <f aca="1">INDEX(Raw_GI_Council!$B$2:$B$100,ROUNDUP(ROW(A264)/5,0))</f>
        <v>Aditya Birla Health Insurance Co Ltd</v>
      </c>
      <c r="B265" s="56" t="str">
        <f aca="1">INDEX(Raw_GI_Council!$C$2:$C$100,ROUNDUP(ROW(A264)/5,0))</f>
        <v>April-26</v>
      </c>
      <c r="C265" s="56" t="str">
        <f aca="1">INDEX(Raw_GI_Council!$D$1:$H$1,1,MOD(ROW(A264)-1,5)+1)</f>
        <v>Health</v>
      </c>
      <c r="D265" s="90">
        <f aca="1">IF(INDEX(Raw_GI_Council!$D$2:$H$100,ROUNDUP(ROW(A264)/5,0),MOD(ROW(A264)-1,5)+1)="-",0,INDEX(Raw_GI_Council!$D$2:$H$100,ROUNDUP(ROW(A264)/5,0),MOD(ROW(A264)-1,5)+1))</f>
        <v>661.669999999999959</v>
      </c>
      <c r="E265" s="56" t="str">
        <f>"GI Council"</f>
        <v>GI Council</v>
      </c>
    </row>
    <row r="266" spans="1:5">
      <c r="A266" s="56" t="str">
        <f aca="1">INDEX(Raw_GI_Council!$B$2:$B$100,ROUNDUP(ROW(A265)/5,0))</f>
        <v>Aditya Birla Health Insurance Co Ltd</v>
      </c>
      <c r="B266" s="56" t="str">
        <f aca="1">INDEX(Raw_GI_Council!$C$2:$C$100,ROUNDUP(ROW(A265)/5,0))</f>
        <v>April-26</v>
      </c>
      <c r="C266" s="56" t="str">
        <f aca="1">INDEX(Raw_GI_Council!$D$1:$H$1,1,MOD(ROW(A265)-1,5)+1)</f>
        <v>Grand_Total</v>
      </c>
      <c r="D266" s="90">
        <f aca="1">IF(INDEX(Raw_GI_Council!$D$2:$H$100,ROUNDUP(ROW(A265)/5,0),MOD(ROW(A265)-1,5)+1)="-",0,INDEX(Raw_GI_Council!$D$2:$H$100,ROUNDUP(ROW(A265)/5,0),MOD(ROW(A265)-1,5)+1))</f>
        <v>731.980000000000018</v>
      </c>
      <c r="E266" s="56" t="str">
        <f>"GI Council"</f>
        <v>GI Council</v>
      </c>
    </row>
    <row r="267" spans="1:5">
      <c r="A267" s="56" t="str">
        <f aca="1">INDEX(Raw_GI_Council!$B$2:$B$100,ROUNDUP(ROW(A266)/5,0))</f>
        <v>Aditya Birla Health Insurance Co Ltd</v>
      </c>
      <c r="B267" s="56" t="str">
        <f aca="1">INDEX(Raw_GI_Council!$C$2:$C$100,ROUNDUP(ROW(A266)/5,0))</f>
        <v>April-25</v>
      </c>
      <c r="C267" s="56" t="str">
        <f aca="1">INDEX(Raw_GI_Council!$D$1:$H$1,1,MOD(ROW(A266)-1,5)+1)</f>
        <v>Fire</v>
      </c>
      <c r="D267" s="90">
        <f aca="1">IF(INDEX(Raw_GI_Council!$D$2:$H$100,ROUNDUP(ROW(A266)/5,0),MOD(ROW(A266)-1,5)+1)="-",0,INDEX(Raw_GI_Council!$D$2:$H$100,ROUNDUP(ROW(A266)/5,0),MOD(ROW(A266)-1,5)+1))</f>
        <v>0</v>
      </c>
      <c r="E267" s="56" t="str">
        <f>"GI Council"</f>
        <v>GI Council</v>
      </c>
    </row>
    <row r="268" spans="1:5">
      <c r="A268" s="56" t="str">
        <f aca="1">INDEX(Raw_GI_Council!$B$2:$B$100,ROUNDUP(ROW(A267)/5,0))</f>
        <v>Aditya Birla Health Insurance Co Ltd</v>
      </c>
      <c r="B268" s="56" t="str">
        <f aca="1">INDEX(Raw_GI_Council!$C$2:$C$100,ROUNDUP(ROW(A267)/5,0))</f>
        <v>April-25</v>
      </c>
      <c r="C268" s="56" t="str">
        <f aca="1">INDEX(Raw_GI_Council!$D$1:$H$1,1,MOD(ROW(A267)-1,5)+1)</f>
        <v>Marine_Total</v>
      </c>
      <c r="D268" s="90">
        <f aca="1">IF(INDEX(Raw_GI_Council!$D$2:$H$100,ROUNDUP(ROW(A267)/5,0),MOD(ROW(A267)-1,5)+1)="-",0,INDEX(Raw_GI_Council!$D$2:$H$100,ROUNDUP(ROW(A267)/5,0),MOD(ROW(A267)-1,5)+1))</f>
        <v>0</v>
      </c>
      <c r="E268" s="56" t="str">
        <f>"GI Council"</f>
        <v>GI Council</v>
      </c>
    </row>
    <row r="269" spans="1:5">
      <c r="A269" s="56" t="str">
        <f aca="1">INDEX(Raw_GI_Council!$B$2:$B$100,ROUNDUP(ROW(A268)/5,0))</f>
        <v>Aditya Birla Health Insurance Co Ltd</v>
      </c>
      <c r="B269" s="56" t="str">
        <f aca="1">INDEX(Raw_GI_Council!$C$2:$C$100,ROUNDUP(ROW(A268)/5,0))</f>
        <v>April-25</v>
      </c>
      <c r="C269" s="56" t="str">
        <f aca="1">INDEX(Raw_GI_Council!$D$1:$H$1,1,MOD(ROW(A268)-1,5)+1)</f>
        <v>Motor_Total</v>
      </c>
      <c r="D269" s="90">
        <f aca="1">IF(INDEX(Raw_GI_Council!$D$2:$H$100,ROUNDUP(ROW(A268)/5,0),MOD(ROW(A268)-1,5)+1)="-",0,INDEX(Raw_GI_Council!$D$2:$H$100,ROUNDUP(ROW(A268)/5,0),MOD(ROW(A268)-1,5)+1))</f>
        <v>0</v>
      </c>
      <c r="E269" s="56" t="str">
        <f>"GI Council"</f>
        <v>GI Council</v>
      </c>
    </row>
    <row r="270" spans="1:5">
      <c r="A270" s="56" t="str">
        <f aca="1">INDEX(Raw_GI_Council!$B$2:$B$100,ROUNDUP(ROW(A269)/5,0))</f>
        <v>Aditya Birla Health Insurance Co Ltd</v>
      </c>
      <c r="B270" s="56" t="str">
        <f aca="1">INDEX(Raw_GI_Council!$C$2:$C$100,ROUNDUP(ROW(A269)/5,0))</f>
        <v>April-25</v>
      </c>
      <c r="C270" s="56" t="str">
        <f aca="1">INDEX(Raw_GI_Council!$D$1:$H$1,1,MOD(ROW(A269)-1,5)+1)</f>
        <v>Health</v>
      </c>
      <c r="D270" s="90">
        <f aca="1">IF(INDEX(Raw_GI_Council!$D$2:$H$100,ROUNDUP(ROW(A269)/5,0),MOD(ROW(A269)-1,5)+1)="-",0,INDEX(Raw_GI_Council!$D$2:$H$100,ROUNDUP(ROW(A269)/5,0),MOD(ROW(A269)-1,5)+1))</f>
        <v>430.129999999999995</v>
      </c>
      <c r="E270" s="56" t="str">
        <f>"GI Council"</f>
        <v>GI Council</v>
      </c>
    </row>
    <row r="271" spans="1:5">
      <c r="A271" s="56" t="str">
        <f aca="1">INDEX(Raw_GI_Council!$B$2:$B$100,ROUNDUP(ROW(A270)/5,0))</f>
        <v>Aditya Birla Health Insurance Co Ltd</v>
      </c>
      <c r="B271" s="56" t="str">
        <f aca="1">INDEX(Raw_GI_Council!$C$2:$C$100,ROUNDUP(ROW(A270)/5,0))</f>
        <v>April-25</v>
      </c>
      <c r="C271" s="56" t="str">
        <f aca="1">INDEX(Raw_GI_Council!$D$1:$H$1,1,MOD(ROW(A270)-1,5)+1)</f>
        <v>Grand_Total</v>
      </c>
      <c r="D271" s="90">
        <f aca="1">IF(INDEX(Raw_GI_Council!$D$2:$H$100,ROUNDUP(ROW(A270)/5,0),MOD(ROW(A270)-1,5)+1)="-",0,INDEX(Raw_GI_Council!$D$2:$H$100,ROUNDUP(ROW(A270)/5,0),MOD(ROW(A270)-1,5)+1))</f>
        <v>438.370000000000005</v>
      </c>
      <c r="E271" s="56" t="str">
        <f>"GI Council"</f>
        <v>GI Council</v>
      </c>
    </row>
    <row r="272" spans="1:5">
      <c r="A272" s="56" t="str">
        <f aca="1">INDEX(Raw_GI_Council!$B$2:$B$100,ROUNDUP(ROW(A271)/5,0))</f>
        <v>Care Health Insurance Ltd</v>
      </c>
      <c r="B272" s="56" t="str">
        <f aca="1">INDEX(Raw_GI_Council!$C$2:$C$100,ROUNDUP(ROW(A271)/5,0))</f>
        <v>April-26</v>
      </c>
      <c r="C272" s="56" t="str">
        <f aca="1">INDEX(Raw_GI_Council!$D$1:$H$1,1,MOD(ROW(A271)-1,5)+1)</f>
        <v>Fire</v>
      </c>
      <c r="D272" s="90">
        <f aca="1">IF(INDEX(Raw_GI_Council!$D$2:$H$100,ROUNDUP(ROW(A271)/5,0),MOD(ROW(A271)-1,5)+1)="-",0,INDEX(Raw_GI_Council!$D$2:$H$100,ROUNDUP(ROW(A271)/5,0),MOD(ROW(A271)-1,5)+1))</f>
        <v>0</v>
      </c>
      <c r="E272" s="56" t="str">
        <f>"GI Council"</f>
        <v>GI Council</v>
      </c>
    </row>
    <row r="273" spans="1:5">
      <c r="A273" s="56" t="str">
        <f aca="1">INDEX(Raw_GI_Council!$B$2:$B$100,ROUNDUP(ROW(A272)/5,0))</f>
        <v>Care Health Insurance Ltd</v>
      </c>
      <c r="B273" s="56" t="str">
        <f aca="1">INDEX(Raw_GI_Council!$C$2:$C$100,ROUNDUP(ROW(A272)/5,0))</f>
        <v>April-26</v>
      </c>
      <c r="C273" s="56" t="str">
        <f aca="1">INDEX(Raw_GI_Council!$D$1:$H$1,1,MOD(ROW(A272)-1,5)+1)</f>
        <v>Marine_Total</v>
      </c>
      <c r="D273" s="90">
        <f aca="1">IF(INDEX(Raw_GI_Council!$D$2:$H$100,ROUNDUP(ROW(A272)/5,0),MOD(ROW(A272)-1,5)+1)="-",0,INDEX(Raw_GI_Council!$D$2:$H$100,ROUNDUP(ROW(A272)/5,0),MOD(ROW(A272)-1,5)+1))</f>
        <v>0</v>
      </c>
      <c r="E273" s="56" t="str">
        <f>"GI Council"</f>
        <v>GI Council</v>
      </c>
    </row>
    <row r="274" spans="1:5">
      <c r="A274" s="56" t="str">
        <f aca="1">INDEX(Raw_GI_Council!$B$2:$B$100,ROUNDUP(ROW(A273)/5,0))</f>
        <v>Care Health Insurance Ltd</v>
      </c>
      <c r="B274" s="56" t="str">
        <f aca="1">INDEX(Raw_GI_Council!$C$2:$C$100,ROUNDUP(ROW(A273)/5,0))</f>
        <v>April-26</v>
      </c>
      <c r="C274" s="56" t="str">
        <f aca="1">INDEX(Raw_GI_Council!$D$1:$H$1,1,MOD(ROW(A273)-1,5)+1)</f>
        <v>Motor_Total</v>
      </c>
      <c r="D274" s="90">
        <f aca="1">IF(INDEX(Raw_GI_Council!$D$2:$H$100,ROUNDUP(ROW(A273)/5,0),MOD(ROW(A273)-1,5)+1)="-",0,INDEX(Raw_GI_Council!$D$2:$H$100,ROUNDUP(ROW(A273)/5,0),MOD(ROW(A273)-1,5)+1))</f>
        <v>0</v>
      </c>
      <c r="E274" s="56" t="str">
        <f>"GI Council"</f>
        <v>GI Council</v>
      </c>
    </row>
    <row r="275" spans="1:5">
      <c r="A275" s="56" t="str">
        <f aca="1">INDEX(Raw_GI_Council!$B$2:$B$100,ROUNDUP(ROW(A274)/5,0))</f>
        <v>Care Health Insurance Ltd</v>
      </c>
      <c r="B275" s="56" t="str">
        <f aca="1">INDEX(Raw_GI_Council!$C$2:$C$100,ROUNDUP(ROW(A274)/5,0))</f>
        <v>April-26</v>
      </c>
      <c r="C275" s="56" t="str">
        <f aca="1">INDEX(Raw_GI_Council!$D$1:$H$1,1,MOD(ROW(A274)-1,5)+1)</f>
        <v>Health</v>
      </c>
      <c r="D275" s="90">
        <f aca="1">IF(INDEX(Raw_GI_Council!$D$2:$H$100,ROUNDUP(ROW(A274)/5,0),MOD(ROW(A274)-1,5)+1)="-",0,INDEX(Raw_GI_Council!$D$2:$H$100,ROUNDUP(ROW(A274)/5,0),MOD(ROW(A274)-1,5)+1))</f>
        <v>986.510000000000105</v>
      </c>
      <c r="E275" s="56" t="str">
        <f>"GI Council"</f>
        <v>GI Council</v>
      </c>
    </row>
    <row r="276" spans="1:5">
      <c r="A276" s="56" t="str">
        <f aca="1">INDEX(Raw_GI_Council!$B$2:$B$100,ROUNDUP(ROW(A275)/5,0))</f>
        <v>Care Health Insurance Ltd</v>
      </c>
      <c r="B276" s="56" t="str">
        <f aca="1">INDEX(Raw_GI_Council!$C$2:$C$100,ROUNDUP(ROW(A275)/5,0))</f>
        <v>April-26</v>
      </c>
      <c r="C276" s="56" t="str">
        <f aca="1">INDEX(Raw_GI_Council!$D$1:$H$1,1,MOD(ROW(A275)-1,5)+1)</f>
        <v>Grand_Total</v>
      </c>
      <c r="D276" s="90">
        <f aca="1">IF(INDEX(Raw_GI_Council!$D$2:$H$100,ROUNDUP(ROW(A275)/5,0),MOD(ROW(A275)-1,5)+1)="-",0,INDEX(Raw_GI_Council!$D$2:$H$100,ROUNDUP(ROW(A275)/5,0),MOD(ROW(A275)-1,5)+1))</f>
        <v>1008.77999999999997</v>
      </c>
      <c r="E276" s="56" t="str">
        <f>"GI Council"</f>
        <v>GI Council</v>
      </c>
    </row>
    <row r="277" spans="1:5">
      <c r="A277" s="56" t="str">
        <f aca="1">INDEX(Raw_GI_Council!$B$2:$B$100,ROUNDUP(ROW(A276)/5,0))</f>
        <v>Care Health Insurance Ltd</v>
      </c>
      <c r="B277" s="56" t="str">
        <f aca="1">INDEX(Raw_GI_Council!$C$2:$C$100,ROUNDUP(ROW(A276)/5,0))</f>
        <v>April-25</v>
      </c>
      <c r="C277" s="56" t="str">
        <f aca="1">INDEX(Raw_GI_Council!$D$1:$H$1,1,MOD(ROW(A276)-1,5)+1)</f>
        <v>Fire</v>
      </c>
      <c r="D277" s="90">
        <f aca="1">IF(INDEX(Raw_GI_Council!$D$2:$H$100,ROUNDUP(ROW(A276)/5,0),MOD(ROW(A276)-1,5)+1)="-",0,INDEX(Raw_GI_Council!$D$2:$H$100,ROUNDUP(ROW(A276)/5,0),MOD(ROW(A276)-1,5)+1))</f>
        <v>0</v>
      </c>
      <c r="E277" s="56" t="str">
        <f>"GI Council"</f>
        <v>GI Council</v>
      </c>
    </row>
    <row r="278" spans="1:5">
      <c r="A278" s="56" t="str">
        <f aca="1">INDEX(Raw_GI_Council!$B$2:$B$100,ROUNDUP(ROW(A277)/5,0))</f>
        <v>Care Health Insurance Ltd</v>
      </c>
      <c r="B278" s="56" t="str">
        <f aca="1">INDEX(Raw_GI_Council!$C$2:$C$100,ROUNDUP(ROW(A277)/5,0))</f>
        <v>April-25</v>
      </c>
      <c r="C278" s="56" t="str">
        <f aca="1">INDEX(Raw_GI_Council!$D$1:$H$1,1,MOD(ROW(A277)-1,5)+1)</f>
        <v>Marine_Total</v>
      </c>
      <c r="D278" s="90">
        <f aca="1">IF(INDEX(Raw_GI_Council!$D$2:$H$100,ROUNDUP(ROW(A277)/5,0),MOD(ROW(A277)-1,5)+1)="-",0,INDEX(Raw_GI_Council!$D$2:$H$100,ROUNDUP(ROW(A277)/5,0),MOD(ROW(A277)-1,5)+1))</f>
        <v>0</v>
      </c>
      <c r="E278" s="56" t="str">
        <f>"GI Council"</f>
        <v>GI Council</v>
      </c>
    </row>
    <row r="279" spans="1:5">
      <c r="A279" s="56" t="str">
        <f aca="1">INDEX(Raw_GI_Council!$B$2:$B$100,ROUNDUP(ROW(A278)/5,0))</f>
        <v>Care Health Insurance Ltd</v>
      </c>
      <c r="B279" s="56" t="str">
        <f aca="1">INDEX(Raw_GI_Council!$C$2:$C$100,ROUNDUP(ROW(A278)/5,0))</f>
        <v>April-25</v>
      </c>
      <c r="C279" s="56" t="str">
        <f aca="1">INDEX(Raw_GI_Council!$D$1:$H$1,1,MOD(ROW(A278)-1,5)+1)</f>
        <v>Motor_Total</v>
      </c>
      <c r="D279" s="90">
        <f aca="1">IF(INDEX(Raw_GI_Council!$D$2:$H$100,ROUNDUP(ROW(A278)/5,0),MOD(ROW(A278)-1,5)+1)="-",0,INDEX(Raw_GI_Council!$D$2:$H$100,ROUNDUP(ROW(A278)/5,0),MOD(ROW(A278)-1,5)+1))</f>
        <v>0</v>
      </c>
      <c r="E279" s="56" t="str">
        <f>"GI Council"</f>
        <v>GI Council</v>
      </c>
    </row>
    <row r="280" spans="1:5">
      <c r="A280" s="56" t="str">
        <f aca="1">INDEX(Raw_GI_Council!$B$2:$B$100,ROUNDUP(ROW(A279)/5,0))</f>
        <v>Care Health Insurance Ltd</v>
      </c>
      <c r="B280" s="56" t="str">
        <f aca="1">INDEX(Raw_GI_Council!$C$2:$C$100,ROUNDUP(ROW(A279)/5,0))</f>
        <v>April-25</v>
      </c>
      <c r="C280" s="56" t="str">
        <f aca="1">INDEX(Raw_GI_Council!$D$1:$H$1,1,MOD(ROW(A279)-1,5)+1)</f>
        <v>Health</v>
      </c>
      <c r="D280" s="90">
        <f aca="1">IF(INDEX(Raw_GI_Council!$D$2:$H$100,ROUNDUP(ROW(A279)/5,0),MOD(ROW(A279)-1,5)+1)="-",0,INDEX(Raw_GI_Council!$D$2:$H$100,ROUNDUP(ROW(A279)/5,0),MOD(ROW(A279)-1,5)+1))</f>
        <v>710.600000000000023</v>
      </c>
      <c r="E280" s="56" t="str">
        <f>"GI Council"</f>
        <v>GI Council</v>
      </c>
    </row>
    <row r="281" spans="1:5">
      <c r="A281" s="56" t="str">
        <f aca="1">INDEX(Raw_GI_Council!$B$2:$B$100,ROUNDUP(ROW(A280)/5,0))</f>
        <v>Care Health Insurance Ltd</v>
      </c>
      <c r="B281" s="56" t="str">
        <f aca="1">INDEX(Raw_GI_Council!$C$2:$C$100,ROUNDUP(ROW(A280)/5,0))</f>
        <v>April-25</v>
      </c>
      <c r="C281" s="56" t="str">
        <f aca="1">INDEX(Raw_GI_Council!$D$1:$H$1,1,MOD(ROW(A280)-1,5)+1)</f>
        <v>Grand_Total</v>
      </c>
      <c r="D281" s="90">
        <f aca="1">IF(INDEX(Raw_GI_Council!$D$2:$H$100,ROUNDUP(ROW(A280)/5,0),MOD(ROW(A280)-1,5)+1)="-",0,INDEX(Raw_GI_Council!$D$2:$H$100,ROUNDUP(ROW(A280)/5,0),MOD(ROW(A280)-1,5)+1))</f>
        <v>726.190000000000055</v>
      </c>
      <c r="E281" s="56" t="str">
        <f>"GI Council"</f>
        <v>GI Council</v>
      </c>
    </row>
    <row r="282" spans="1:5">
      <c r="A282" s="56" t="str">
        <f aca="1">INDEX(Raw_GI_Council!$B$2:$B$100,ROUNDUP(ROW(A281)/5,0))</f>
        <v>Galaxy Health Insurance Company Ltd</v>
      </c>
      <c r="B282" s="56" t="str">
        <f aca="1">INDEX(Raw_GI_Council!$C$2:$C$100,ROUNDUP(ROW(A281)/5,0))</f>
        <v>April-26</v>
      </c>
      <c r="C282" s="56" t="str">
        <f aca="1">INDEX(Raw_GI_Council!$D$1:$H$1,1,MOD(ROW(A281)-1,5)+1)</f>
        <v>Fire</v>
      </c>
      <c r="D282" s="90">
        <f aca="1">IF(INDEX(Raw_GI_Council!$D$2:$H$100,ROUNDUP(ROW(A281)/5,0),MOD(ROW(A281)-1,5)+1)="-",0,INDEX(Raw_GI_Council!$D$2:$H$100,ROUNDUP(ROW(A281)/5,0),MOD(ROW(A281)-1,5)+1))</f>
        <v>0</v>
      </c>
      <c r="E282" s="56" t="str">
        <f>"GI Council"</f>
        <v>GI Council</v>
      </c>
    </row>
    <row r="283" spans="1:5">
      <c r="A283" s="56" t="str">
        <f aca="1">INDEX(Raw_GI_Council!$B$2:$B$100,ROUNDUP(ROW(A282)/5,0))</f>
        <v>Galaxy Health Insurance Company Ltd</v>
      </c>
      <c r="B283" s="56" t="str">
        <f aca="1">INDEX(Raw_GI_Council!$C$2:$C$100,ROUNDUP(ROW(A282)/5,0))</f>
        <v>April-26</v>
      </c>
      <c r="C283" s="56" t="str">
        <f aca="1">INDEX(Raw_GI_Council!$D$1:$H$1,1,MOD(ROW(A282)-1,5)+1)</f>
        <v>Marine_Total</v>
      </c>
      <c r="D283" s="90">
        <f aca="1">IF(INDEX(Raw_GI_Council!$D$2:$H$100,ROUNDUP(ROW(A282)/5,0),MOD(ROW(A282)-1,5)+1)="-",0,INDEX(Raw_GI_Council!$D$2:$H$100,ROUNDUP(ROW(A282)/5,0),MOD(ROW(A282)-1,5)+1))</f>
        <v>0</v>
      </c>
      <c r="E283" s="56" t="str">
        <f>"GI Council"</f>
        <v>GI Council</v>
      </c>
    </row>
    <row r="284" spans="1:5">
      <c r="A284" s="56" t="str">
        <f aca="1">INDEX(Raw_GI_Council!$B$2:$B$100,ROUNDUP(ROW(A283)/5,0))</f>
        <v>Galaxy Health Insurance Company Ltd</v>
      </c>
      <c r="B284" s="56" t="str">
        <f aca="1">INDEX(Raw_GI_Council!$C$2:$C$100,ROUNDUP(ROW(A283)/5,0))</f>
        <v>April-26</v>
      </c>
      <c r="C284" s="56" t="str">
        <f aca="1">INDEX(Raw_GI_Council!$D$1:$H$1,1,MOD(ROW(A283)-1,5)+1)</f>
        <v>Motor_Total</v>
      </c>
      <c r="D284" s="90">
        <f aca="1">IF(INDEX(Raw_GI_Council!$D$2:$H$100,ROUNDUP(ROW(A283)/5,0),MOD(ROW(A283)-1,5)+1)="-",0,INDEX(Raw_GI_Council!$D$2:$H$100,ROUNDUP(ROW(A283)/5,0),MOD(ROW(A283)-1,5)+1))</f>
        <v>0</v>
      </c>
      <c r="E284" s="56" t="str">
        <f>"GI Council"</f>
        <v>GI Council</v>
      </c>
    </row>
    <row r="285" spans="1:5">
      <c r="A285" s="56" t="str">
        <f aca="1">INDEX(Raw_GI_Council!$B$2:$B$100,ROUNDUP(ROW(A284)/5,0))</f>
        <v>Galaxy Health Insurance Company Ltd</v>
      </c>
      <c r="B285" s="56" t="str">
        <f aca="1">INDEX(Raw_GI_Council!$C$2:$C$100,ROUNDUP(ROW(A284)/5,0))</f>
        <v>April-26</v>
      </c>
      <c r="C285" s="56" t="str">
        <f aca="1">INDEX(Raw_GI_Council!$D$1:$H$1,1,MOD(ROW(A284)-1,5)+1)</f>
        <v>Health</v>
      </c>
      <c r="D285" s="90">
        <f aca="1">IF(INDEX(Raw_GI_Council!$D$2:$H$100,ROUNDUP(ROW(A284)/5,0),MOD(ROW(A284)-1,5)+1)="-",0,INDEX(Raw_GI_Council!$D$2:$H$100,ROUNDUP(ROW(A284)/5,0),MOD(ROW(A284)-1,5)+1))</f>
        <v>12.2699999999999996</v>
      </c>
      <c r="E285" s="56" t="str">
        <f>"GI Council"</f>
        <v>GI Council</v>
      </c>
    </row>
    <row r="286" spans="1:5">
      <c r="A286" s="56" t="str">
        <f aca="1">INDEX(Raw_GI_Council!$B$2:$B$100,ROUNDUP(ROW(A285)/5,0))</f>
        <v>Galaxy Health Insurance Company Ltd</v>
      </c>
      <c r="B286" s="56" t="str">
        <f aca="1">INDEX(Raw_GI_Council!$C$2:$C$100,ROUNDUP(ROW(A285)/5,0))</f>
        <v>April-26</v>
      </c>
      <c r="C286" s="56" t="str">
        <f aca="1">INDEX(Raw_GI_Council!$D$1:$H$1,1,MOD(ROW(A285)-1,5)+1)</f>
        <v>Grand_Total</v>
      </c>
      <c r="D286" s="90">
        <f aca="1">IF(INDEX(Raw_GI_Council!$D$2:$H$100,ROUNDUP(ROW(A285)/5,0),MOD(ROW(A285)-1,5)+1)="-",0,INDEX(Raw_GI_Council!$D$2:$H$100,ROUNDUP(ROW(A285)/5,0),MOD(ROW(A285)-1,5)+1))</f>
        <v>13.0900000000000016</v>
      </c>
      <c r="E286" s="56" t="str">
        <f>"GI Council"</f>
        <v>GI Council</v>
      </c>
    </row>
    <row r="287" spans="1:5">
      <c r="A287" s="56" t="str">
        <f aca="1">INDEX(Raw_GI_Council!$B$2:$B$100,ROUNDUP(ROW(A286)/5,0))</f>
        <v>Galaxy Health Insurance Company Ltd</v>
      </c>
      <c r="B287" s="56" t="str">
        <f aca="1">INDEX(Raw_GI_Council!$C$2:$C$100,ROUNDUP(ROW(A286)/5,0))</f>
        <v>April-25</v>
      </c>
      <c r="C287" s="56" t="str">
        <f aca="1">INDEX(Raw_GI_Council!$D$1:$H$1,1,MOD(ROW(A286)-1,5)+1)</f>
        <v>Fire</v>
      </c>
      <c r="D287" s="90">
        <f aca="1">IF(INDEX(Raw_GI_Council!$D$2:$H$100,ROUNDUP(ROW(A286)/5,0),MOD(ROW(A286)-1,5)+1)="-",0,INDEX(Raw_GI_Council!$D$2:$H$100,ROUNDUP(ROW(A286)/5,0),MOD(ROW(A286)-1,5)+1))</f>
        <v>0</v>
      </c>
      <c r="E287" s="56" t="str">
        <f>"GI Council"</f>
        <v>GI Council</v>
      </c>
    </row>
    <row r="288" spans="1:5">
      <c r="A288" s="56" t="str">
        <f aca="1">INDEX(Raw_GI_Council!$B$2:$B$100,ROUNDUP(ROW(A287)/5,0))</f>
        <v>Galaxy Health Insurance Company Ltd</v>
      </c>
      <c r="B288" s="56" t="str">
        <f aca="1">INDEX(Raw_GI_Council!$C$2:$C$100,ROUNDUP(ROW(A287)/5,0))</f>
        <v>April-25</v>
      </c>
      <c r="C288" s="56" t="str">
        <f aca="1">INDEX(Raw_GI_Council!$D$1:$H$1,1,MOD(ROW(A287)-1,5)+1)</f>
        <v>Marine_Total</v>
      </c>
      <c r="D288" s="90">
        <f aca="1">IF(INDEX(Raw_GI_Council!$D$2:$H$100,ROUNDUP(ROW(A287)/5,0),MOD(ROW(A287)-1,5)+1)="-",0,INDEX(Raw_GI_Council!$D$2:$H$100,ROUNDUP(ROW(A287)/5,0),MOD(ROW(A287)-1,5)+1))</f>
        <v>0</v>
      </c>
      <c r="E288" s="56" t="str">
        <f>"GI Council"</f>
        <v>GI Council</v>
      </c>
    </row>
    <row r="289" spans="1:5">
      <c r="A289" s="56" t="str">
        <f aca="1">INDEX(Raw_GI_Council!$B$2:$B$100,ROUNDUP(ROW(A288)/5,0))</f>
        <v>Galaxy Health Insurance Company Ltd</v>
      </c>
      <c r="B289" s="56" t="str">
        <f aca="1">INDEX(Raw_GI_Council!$C$2:$C$100,ROUNDUP(ROW(A288)/5,0))</f>
        <v>April-25</v>
      </c>
      <c r="C289" s="56" t="str">
        <f aca="1">INDEX(Raw_GI_Council!$D$1:$H$1,1,MOD(ROW(A288)-1,5)+1)</f>
        <v>Motor_Total</v>
      </c>
      <c r="D289" s="90">
        <f aca="1">IF(INDEX(Raw_GI_Council!$D$2:$H$100,ROUNDUP(ROW(A288)/5,0),MOD(ROW(A288)-1,5)+1)="-",0,INDEX(Raw_GI_Council!$D$2:$H$100,ROUNDUP(ROW(A288)/5,0),MOD(ROW(A288)-1,5)+1))</f>
        <v>0</v>
      </c>
      <c r="E289" s="56" t="str">
        <f>"GI Council"</f>
        <v>GI Council</v>
      </c>
    </row>
    <row r="290" spans="1:5">
      <c r="A290" s="56" t="str">
        <f aca="1">INDEX(Raw_GI_Council!$B$2:$B$100,ROUNDUP(ROW(A289)/5,0))</f>
        <v>Galaxy Health Insurance Company Ltd</v>
      </c>
      <c r="B290" s="56" t="str">
        <f aca="1">INDEX(Raw_GI_Council!$C$2:$C$100,ROUNDUP(ROW(A289)/5,0))</f>
        <v>April-25</v>
      </c>
      <c r="C290" s="56" t="str">
        <f aca="1">INDEX(Raw_GI_Council!$D$1:$H$1,1,MOD(ROW(A289)-1,5)+1)</f>
        <v>Health</v>
      </c>
      <c r="D290" s="90">
        <f aca="1">IF(INDEX(Raw_GI_Council!$D$2:$H$100,ROUNDUP(ROW(A289)/5,0),MOD(ROW(A289)-1,5)+1)="-",0,INDEX(Raw_GI_Council!$D$2:$H$100,ROUNDUP(ROW(A289)/5,0),MOD(ROW(A289)-1,5)+1))</f>
        <v>3.06000000000000005</v>
      </c>
      <c r="E290" s="56" t="str">
        <f>"GI Council"</f>
        <v>GI Council</v>
      </c>
    </row>
    <row r="291" spans="1:5">
      <c r="A291" s="56" t="str">
        <f aca="1">INDEX(Raw_GI_Council!$B$2:$B$100,ROUNDUP(ROW(A290)/5,0))</f>
        <v>Galaxy Health Insurance Company Ltd</v>
      </c>
      <c r="B291" s="56" t="str">
        <f aca="1">INDEX(Raw_GI_Council!$C$2:$C$100,ROUNDUP(ROW(A290)/5,0))</f>
        <v>April-25</v>
      </c>
      <c r="C291" s="56" t="str">
        <f aca="1">INDEX(Raw_GI_Council!$D$1:$H$1,1,MOD(ROW(A290)-1,5)+1)</f>
        <v>Grand_Total</v>
      </c>
      <c r="D291" s="90">
        <f aca="1">IF(INDEX(Raw_GI_Council!$D$2:$H$100,ROUNDUP(ROW(A290)/5,0),MOD(ROW(A290)-1,5)+1)="-",0,INDEX(Raw_GI_Council!$D$2:$H$100,ROUNDUP(ROW(A290)/5,0),MOD(ROW(A290)-1,5)+1))</f>
        <v>3.37999999999999989</v>
      </c>
      <c r="E291" s="56" t="str">
        <f>"GI Council"</f>
        <v>GI Council</v>
      </c>
    </row>
    <row r="292" spans="1:5">
      <c r="A292" s="56" t="str">
        <f aca="1">INDEX(Raw_GI_Council!$B$2:$B$100,ROUNDUP(ROW(A291)/5,0))</f>
        <v>ManipalCigna Health Insurance Co Ltd</v>
      </c>
      <c r="B292" s="56" t="str">
        <f aca="1">INDEX(Raw_GI_Council!$C$2:$C$100,ROUNDUP(ROW(A291)/5,0))</f>
        <v>April-26</v>
      </c>
      <c r="C292" s="56" t="str">
        <f aca="1">INDEX(Raw_GI_Council!$D$1:$H$1,1,MOD(ROW(A291)-1,5)+1)</f>
        <v>Fire</v>
      </c>
      <c r="D292" s="90">
        <f aca="1">IF(INDEX(Raw_GI_Council!$D$2:$H$100,ROUNDUP(ROW(A291)/5,0),MOD(ROW(A291)-1,5)+1)="-",0,INDEX(Raw_GI_Council!$D$2:$H$100,ROUNDUP(ROW(A291)/5,0),MOD(ROW(A291)-1,5)+1))</f>
        <v>0</v>
      </c>
      <c r="E292" s="56" t="str">
        <f>"GI Council"</f>
        <v>GI Council</v>
      </c>
    </row>
    <row r="293" spans="1:5">
      <c r="A293" s="56" t="str">
        <f aca="1">INDEX(Raw_GI_Council!$B$2:$B$100,ROUNDUP(ROW(A292)/5,0))</f>
        <v>ManipalCigna Health Insurance Co Ltd</v>
      </c>
      <c r="B293" s="56" t="str">
        <f aca="1">INDEX(Raw_GI_Council!$C$2:$C$100,ROUNDUP(ROW(A292)/5,0))</f>
        <v>April-26</v>
      </c>
      <c r="C293" s="56" t="str">
        <f aca="1">INDEX(Raw_GI_Council!$D$1:$H$1,1,MOD(ROW(A292)-1,5)+1)</f>
        <v>Marine_Total</v>
      </c>
      <c r="D293" s="90">
        <f aca="1">IF(INDEX(Raw_GI_Council!$D$2:$H$100,ROUNDUP(ROW(A292)/5,0),MOD(ROW(A292)-1,5)+1)="-",0,INDEX(Raw_GI_Council!$D$2:$H$100,ROUNDUP(ROW(A292)/5,0),MOD(ROW(A292)-1,5)+1))</f>
        <v>0</v>
      </c>
      <c r="E293" s="56" t="str">
        <f>"GI Council"</f>
        <v>GI Council</v>
      </c>
    </row>
    <row r="294" spans="1:5">
      <c r="A294" s="56" t="str">
        <f aca="1">INDEX(Raw_GI_Council!$B$2:$B$100,ROUNDUP(ROW(A293)/5,0))</f>
        <v>ManipalCigna Health Insurance Co Ltd</v>
      </c>
      <c r="B294" s="56" t="str">
        <f aca="1">INDEX(Raw_GI_Council!$C$2:$C$100,ROUNDUP(ROW(A293)/5,0))</f>
        <v>April-26</v>
      </c>
      <c r="C294" s="56" t="str">
        <f aca="1">INDEX(Raw_GI_Council!$D$1:$H$1,1,MOD(ROW(A293)-1,5)+1)</f>
        <v>Motor_Total</v>
      </c>
      <c r="D294" s="90">
        <f aca="1">IF(INDEX(Raw_GI_Council!$D$2:$H$100,ROUNDUP(ROW(A293)/5,0),MOD(ROW(A293)-1,5)+1)="-",0,INDEX(Raw_GI_Council!$D$2:$H$100,ROUNDUP(ROW(A293)/5,0),MOD(ROW(A293)-1,5)+1))</f>
        <v>0</v>
      </c>
      <c r="E294" s="56" t="str">
        <f>"GI Council"</f>
        <v>GI Council</v>
      </c>
    </row>
    <row r="295" spans="1:5">
      <c r="A295" s="56" t="str">
        <f aca="1">INDEX(Raw_GI_Council!$B$2:$B$100,ROUNDUP(ROW(A294)/5,0))</f>
        <v>ManipalCigna Health Insurance Co Ltd</v>
      </c>
      <c r="B295" s="56" t="str">
        <f aca="1">INDEX(Raw_GI_Council!$C$2:$C$100,ROUNDUP(ROW(A294)/5,0))</f>
        <v>April-26</v>
      </c>
      <c r="C295" s="56" t="str">
        <f aca="1">INDEX(Raw_GI_Council!$D$1:$H$1,1,MOD(ROW(A294)-1,5)+1)</f>
        <v>Health</v>
      </c>
      <c r="D295" s="90">
        <f aca="1">IF(INDEX(Raw_GI_Council!$D$2:$H$100,ROUNDUP(ROW(A294)/5,0),MOD(ROW(A294)-1,5)+1)="-",0,INDEX(Raw_GI_Council!$D$2:$H$100,ROUNDUP(ROW(A294)/5,0),MOD(ROW(A294)-1,5)+1))</f>
        <v>274.139999999999986</v>
      </c>
      <c r="E295" s="56" t="str">
        <f>"GI Council"</f>
        <v>GI Council</v>
      </c>
    </row>
    <row r="296" spans="1:5">
      <c r="A296" s="56" t="str">
        <f aca="1">INDEX(Raw_GI_Council!$B$2:$B$100,ROUNDUP(ROW(A295)/5,0))</f>
        <v>ManipalCigna Health Insurance Co Ltd</v>
      </c>
      <c r="B296" s="56" t="str">
        <f aca="1">INDEX(Raw_GI_Council!$C$2:$C$100,ROUNDUP(ROW(A295)/5,0))</f>
        <v>April-26</v>
      </c>
      <c r="C296" s="56" t="str">
        <f aca="1">INDEX(Raw_GI_Council!$D$1:$H$1,1,MOD(ROW(A295)-1,5)+1)</f>
        <v>Grand_Total</v>
      </c>
      <c r="D296" s="90">
        <f aca="1">IF(INDEX(Raw_GI_Council!$D$2:$H$100,ROUNDUP(ROW(A295)/5,0),MOD(ROW(A295)-1,5)+1)="-",0,INDEX(Raw_GI_Council!$D$2:$H$100,ROUNDUP(ROW(A295)/5,0),MOD(ROW(A295)-1,5)+1))</f>
        <v>279.980000000000018</v>
      </c>
      <c r="E296" s="56" t="str">
        <f>"GI Council"</f>
        <v>GI Council</v>
      </c>
    </row>
    <row r="297" spans="1:5">
      <c r="A297" s="56" t="str">
        <f aca="1">INDEX(Raw_GI_Council!$B$2:$B$100,ROUNDUP(ROW(A296)/5,0))</f>
        <v>ManipalCigna Health Insurance Co Ltd</v>
      </c>
      <c r="B297" s="56" t="str">
        <f aca="1">INDEX(Raw_GI_Council!$C$2:$C$100,ROUNDUP(ROW(A296)/5,0))</f>
        <v>April-25</v>
      </c>
      <c r="C297" s="56" t="str">
        <f aca="1">INDEX(Raw_GI_Council!$D$1:$H$1,1,MOD(ROW(A296)-1,5)+1)</f>
        <v>Fire</v>
      </c>
      <c r="D297" s="90">
        <f aca="1">IF(INDEX(Raw_GI_Council!$D$2:$H$100,ROUNDUP(ROW(A296)/5,0),MOD(ROW(A296)-1,5)+1)="-",0,INDEX(Raw_GI_Council!$D$2:$H$100,ROUNDUP(ROW(A296)/5,0),MOD(ROW(A296)-1,5)+1))</f>
        <v>0</v>
      </c>
      <c r="E297" s="56" t="str">
        <f>"GI Council"</f>
        <v>GI Council</v>
      </c>
    </row>
    <row r="298" spans="1:5">
      <c r="A298" s="56" t="str">
        <f aca="1">INDEX(Raw_GI_Council!$B$2:$B$100,ROUNDUP(ROW(A297)/5,0))</f>
        <v>ManipalCigna Health Insurance Co Ltd</v>
      </c>
      <c r="B298" s="56" t="str">
        <f aca="1">INDEX(Raw_GI_Council!$C$2:$C$100,ROUNDUP(ROW(A297)/5,0))</f>
        <v>April-25</v>
      </c>
      <c r="C298" s="56" t="str">
        <f aca="1">INDEX(Raw_GI_Council!$D$1:$H$1,1,MOD(ROW(A297)-1,5)+1)</f>
        <v>Marine_Total</v>
      </c>
      <c r="D298" s="90">
        <f aca="1">IF(INDEX(Raw_GI_Council!$D$2:$H$100,ROUNDUP(ROW(A297)/5,0),MOD(ROW(A297)-1,5)+1)="-",0,INDEX(Raw_GI_Council!$D$2:$H$100,ROUNDUP(ROW(A297)/5,0),MOD(ROW(A297)-1,5)+1))</f>
        <v>0</v>
      </c>
      <c r="E298" s="56" t="str">
        <f>"GI Council"</f>
        <v>GI Council</v>
      </c>
    </row>
    <row r="299" spans="1:5">
      <c r="A299" s="56" t="str">
        <f aca="1">INDEX(Raw_GI_Council!$B$2:$B$100,ROUNDUP(ROW(A298)/5,0))</f>
        <v>ManipalCigna Health Insurance Co Ltd</v>
      </c>
      <c r="B299" s="56" t="str">
        <f aca="1">INDEX(Raw_GI_Council!$C$2:$C$100,ROUNDUP(ROW(A298)/5,0))</f>
        <v>April-25</v>
      </c>
      <c r="C299" s="56" t="str">
        <f aca="1">INDEX(Raw_GI_Council!$D$1:$H$1,1,MOD(ROW(A298)-1,5)+1)</f>
        <v>Motor_Total</v>
      </c>
      <c r="D299" s="90">
        <f aca="1">IF(INDEX(Raw_GI_Council!$D$2:$H$100,ROUNDUP(ROW(A298)/5,0),MOD(ROW(A298)-1,5)+1)="-",0,INDEX(Raw_GI_Council!$D$2:$H$100,ROUNDUP(ROW(A298)/5,0),MOD(ROW(A298)-1,5)+1))</f>
        <v>0</v>
      </c>
      <c r="E299" s="56" t="str">
        <f>"GI Council"</f>
        <v>GI Council</v>
      </c>
    </row>
    <row r="300" spans="1:5">
      <c r="A300" s="56" t="str">
        <f aca="1">INDEX(Raw_GI_Council!$B$2:$B$100,ROUNDUP(ROW(A299)/5,0))</f>
        <v>ManipalCigna Health Insurance Co Ltd</v>
      </c>
      <c r="B300" s="56" t="str">
        <f aca="1">INDEX(Raw_GI_Council!$C$2:$C$100,ROUNDUP(ROW(A299)/5,0))</f>
        <v>April-25</v>
      </c>
      <c r="C300" s="56" t="str">
        <f aca="1">INDEX(Raw_GI_Council!$D$1:$H$1,1,MOD(ROW(A299)-1,5)+1)</f>
        <v>Health</v>
      </c>
      <c r="D300" s="90">
        <f aca="1">IF(INDEX(Raw_GI_Council!$D$2:$H$100,ROUNDUP(ROW(A299)/5,0),MOD(ROW(A299)-1,5)+1)="-",0,INDEX(Raw_GI_Council!$D$2:$H$100,ROUNDUP(ROW(A299)/5,0),MOD(ROW(A299)-1,5)+1))</f>
        <v>180.610000000000014</v>
      </c>
      <c r="E300" s="56" t="str">
        <f>"GI Council"</f>
        <v>GI Council</v>
      </c>
    </row>
    <row r="301" spans="1:5">
      <c r="A301" s="56" t="str">
        <f aca="1">INDEX(Raw_GI_Council!$B$2:$B$100,ROUNDUP(ROW(A300)/5,0))</f>
        <v>ManipalCigna Health Insurance Co Ltd</v>
      </c>
      <c r="B301" s="56" t="str">
        <f aca="1">INDEX(Raw_GI_Council!$C$2:$C$100,ROUNDUP(ROW(A300)/5,0))</f>
        <v>April-25</v>
      </c>
      <c r="C301" s="56" t="str">
        <f aca="1">INDEX(Raw_GI_Council!$D$1:$H$1,1,MOD(ROW(A300)-1,5)+1)</f>
        <v>Grand_Total</v>
      </c>
      <c r="D301" s="90">
        <f aca="1">IF(INDEX(Raw_GI_Council!$D$2:$H$100,ROUNDUP(ROW(A300)/5,0),MOD(ROW(A300)-1,5)+1)="-",0,INDEX(Raw_GI_Council!$D$2:$H$100,ROUNDUP(ROW(A300)/5,0),MOD(ROW(A300)-1,5)+1))</f>
        <v>183.780000000000001</v>
      </c>
      <c r="E301" s="56" t="str">
        <f>"GI Council"</f>
        <v>GI Council</v>
      </c>
    </row>
    <row r="302" spans="1:5">
      <c r="A302" s="56" t="str">
        <f aca="1">INDEX(Raw_GI_Council!$B$2:$B$100,ROUNDUP(ROW(A301)/5,0))</f>
        <v>Narayana Health Insurance Ltd</v>
      </c>
      <c r="B302" s="56" t="str">
        <f aca="1">INDEX(Raw_GI_Council!$C$2:$C$100,ROUNDUP(ROW(A301)/5,0))</f>
        <v>April-26</v>
      </c>
      <c r="C302" s="56" t="str">
        <f aca="1">INDEX(Raw_GI_Council!$D$1:$H$1,1,MOD(ROW(A301)-1,5)+1)</f>
        <v>Fire</v>
      </c>
      <c r="D302" s="90">
        <f aca="1">IF(INDEX(Raw_GI_Council!$D$2:$H$100,ROUNDUP(ROW(A301)/5,0),MOD(ROW(A301)-1,5)+1)="-",0,INDEX(Raw_GI_Council!$D$2:$H$100,ROUNDUP(ROW(A301)/5,0),MOD(ROW(A301)-1,5)+1))</f>
        <v>0</v>
      </c>
      <c r="E302" s="56" t="str">
        <f>"GI Council"</f>
        <v>GI Council</v>
      </c>
    </row>
    <row r="303" spans="1:5">
      <c r="A303" s="56" t="str">
        <f aca="1">INDEX(Raw_GI_Council!$B$2:$B$100,ROUNDUP(ROW(A302)/5,0))</f>
        <v>Narayana Health Insurance Ltd</v>
      </c>
      <c r="B303" s="56" t="str">
        <f aca="1">INDEX(Raw_GI_Council!$C$2:$C$100,ROUNDUP(ROW(A302)/5,0))</f>
        <v>April-26</v>
      </c>
      <c r="C303" s="56" t="str">
        <f aca="1">INDEX(Raw_GI_Council!$D$1:$H$1,1,MOD(ROW(A302)-1,5)+1)</f>
        <v>Marine_Total</v>
      </c>
      <c r="D303" s="90">
        <f aca="1">IF(INDEX(Raw_GI_Council!$D$2:$H$100,ROUNDUP(ROW(A302)/5,0),MOD(ROW(A302)-1,5)+1)="-",0,INDEX(Raw_GI_Council!$D$2:$H$100,ROUNDUP(ROW(A302)/5,0),MOD(ROW(A302)-1,5)+1))</f>
        <v>0</v>
      </c>
      <c r="E303" s="56" t="str">
        <f>"GI Council"</f>
        <v>GI Council</v>
      </c>
    </row>
    <row r="304" spans="1:5">
      <c r="A304" s="56" t="str">
        <f aca="1">INDEX(Raw_GI_Council!$B$2:$B$100,ROUNDUP(ROW(A303)/5,0))</f>
        <v>Narayana Health Insurance Ltd</v>
      </c>
      <c r="B304" s="56" t="str">
        <f aca="1">INDEX(Raw_GI_Council!$C$2:$C$100,ROUNDUP(ROW(A303)/5,0))</f>
        <v>April-26</v>
      </c>
      <c r="C304" s="56" t="str">
        <f aca="1">INDEX(Raw_GI_Council!$D$1:$H$1,1,MOD(ROW(A303)-1,5)+1)</f>
        <v>Motor_Total</v>
      </c>
      <c r="D304" s="90">
        <f aca="1">IF(INDEX(Raw_GI_Council!$D$2:$H$100,ROUNDUP(ROW(A303)/5,0),MOD(ROW(A303)-1,5)+1)="-",0,INDEX(Raw_GI_Council!$D$2:$H$100,ROUNDUP(ROW(A303)/5,0),MOD(ROW(A303)-1,5)+1))</f>
        <v>0</v>
      </c>
      <c r="E304" s="56" t="str">
        <f>"GI Council"</f>
        <v>GI Council</v>
      </c>
    </row>
    <row r="305" spans="1:5">
      <c r="A305" s="56" t="str">
        <f aca="1">INDEX(Raw_GI_Council!$B$2:$B$100,ROUNDUP(ROW(A304)/5,0))</f>
        <v>Narayana Health Insurance Ltd</v>
      </c>
      <c r="B305" s="56" t="str">
        <f aca="1">INDEX(Raw_GI_Council!$C$2:$C$100,ROUNDUP(ROW(A304)/5,0))</f>
        <v>April-26</v>
      </c>
      <c r="C305" s="56" t="str">
        <f aca="1">INDEX(Raw_GI_Council!$D$1:$H$1,1,MOD(ROW(A304)-1,5)+1)</f>
        <v>Health</v>
      </c>
      <c r="D305" s="90">
        <f aca="1">IF(INDEX(Raw_GI_Council!$D$2:$H$100,ROUNDUP(ROW(A304)/5,0),MOD(ROW(A304)-1,5)+1)="-",0,INDEX(Raw_GI_Council!$D$2:$H$100,ROUNDUP(ROW(A304)/5,0),MOD(ROW(A304)-1,5)+1))</f>
        <v>17.9100000000000001</v>
      </c>
      <c r="E305" s="56" t="str">
        <f>"GI Council"</f>
        <v>GI Council</v>
      </c>
    </row>
    <row r="306" spans="1:5">
      <c r="A306" s="56" t="str">
        <f aca="1">INDEX(Raw_GI_Council!$B$2:$B$100,ROUNDUP(ROW(A305)/5,0))</f>
        <v>Narayana Health Insurance Ltd</v>
      </c>
      <c r="B306" s="56" t="str">
        <f aca="1">INDEX(Raw_GI_Council!$C$2:$C$100,ROUNDUP(ROW(A305)/5,0))</f>
        <v>April-26</v>
      </c>
      <c r="C306" s="56" t="str">
        <f aca="1">INDEX(Raw_GI_Council!$D$1:$H$1,1,MOD(ROW(A305)-1,5)+1)</f>
        <v>Grand_Total</v>
      </c>
      <c r="D306" s="90">
        <f aca="1">IF(INDEX(Raw_GI_Council!$D$2:$H$100,ROUNDUP(ROW(A305)/5,0),MOD(ROW(A305)-1,5)+1)="-",0,INDEX(Raw_GI_Council!$D$2:$H$100,ROUNDUP(ROW(A305)/5,0),MOD(ROW(A305)-1,5)+1))</f>
        <v>17.9100000000000001</v>
      </c>
      <c r="E306" s="56" t="str">
        <f>"GI Council"</f>
        <v>GI Council</v>
      </c>
    </row>
    <row r="307" spans="1:5">
      <c r="A307" s="56" t="str">
        <f aca="1">INDEX(Raw_GI_Council!$B$2:$B$100,ROUNDUP(ROW(A306)/5,0))</f>
        <v>Narayana Health Insurance Ltd</v>
      </c>
      <c r="B307" s="56" t="str">
        <f aca="1">INDEX(Raw_GI_Council!$C$2:$C$100,ROUNDUP(ROW(A306)/5,0))</f>
        <v>April-25</v>
      </c>
      <c r="C307" s="56" t="str">
        <f aca="1">INDEX(Raw_GI_Council!$D$1:$H$1,1,MOD(ROW(A306)-1,5)+1)</f>
        <v>Fire</v>
      </c>
      <c r="D307" s="90">
        <f aca="1">IF(INDEX(Raw_GI_Council!$D$2:$H$100,ROUNDUP(ROW(A306)/5,0),MOD(ROW(A306)-1,5)+1)="-",0,INDEX(Raw_GI_Council!$D$2:$H$100,ROUNDUP(ROW(A306)/5,0),MOD(ROW(A306)-1,5)+1))</f>
        <v>0</v>
      </c>
      <c r="E307" s="56" t="str">
        <f>"GI Council"</f>
        <v>GI Council</v>
      </c>
    </row>
    <row r="308" spans="1:5">
      <c r="A308" s="56" t="str">
        <f aca="1">INDEX(Raw_GI_Council!$B$2:$B$100,ROUNDUP(ROW(A307)/5,0))</f>
        <v>Narayana Health Insurance Ltd</v>
      </c>
      <c r="B308" s="56" t="str">
        <f aca="1">INDEX(Raw_GI_Council!$C$2:$C$100,ROUNDUP(ROW(A307)/5,0))</f>
        <v>April-25</v>
      </c>
      <c r="C308" s="56" t="str">
        <f aca="1">INDEX(Raw_GI_Council!$D$1:$H$1,1,MOD(ROW(A307)-1,5)+1)</f>
        <v>Marine_Total</v>
      </c>
      <c r="D308" s="90">
        <f aca="1">IF(INDEX(Raw_GI_Council!$D$2:$H$100,ROUNDUP(ROW(A307)/5,0),MOD(ROW(A307)-1,5)+1)="-",0,INDEX(Raw_GI_Council!$D$2:$H$100,ROUNDUP(ROW(A307)/5,0),MOD(ROW(A307)-1,5)+1))</f>
        <v>0</v>
      </c>
      <c r="E308" s="56" t="str">
        <f>"GI Council"</f>
        <v>GI Council</v>
      </c>
    </row>
    <row r="309" spans="1:5">
      <c r="A309" s="56" t="str">
        <f aca="1">INDEX(Raw_GI_Council!$B$2:$B$100,ROUNDUP(ROW(A308)/5,0))</f>
        <v>Narayana Health Insurance Ltd</v>
      </c>
      <c r="B309" s="56" t="str">
        <f aca="1">INDEX(Raw_GI_Council!$C$2:$C$100,ROUNDUP(ROW(A308)/5,0))</f>
        <v>April-25</v>
      </c>
      <c r="C309" s="56" t="str">
        <f aca="1">INDEX(Raw_GI_Council!$D$1:$H$1,1,MOD(ROW(A308)-1,5)+1)</f>
        <v>Motor_Total</v>
      </c>
      <c r="D309" s="90">
        <f aca="1">IF(INDEX(Raw_GI_Council!$D$2:$H$100,ROUNDUP(ROW(A308)/5,0),MOD(ROW(A308)-1,5)+1)="-",0,INDEX(Raw_GI_Council!$D$2:$H$100,ROUNDUP(ROW(A308)/5,0),MOD(ROW(A308)-1,5)+1))</f>
        <v>0</v>
      </c>
      <c r="E309" s="56" t="str">
        <f>"GI Council"</f>
        <v>GI Council</v>
      </c>
    </row>
    <row r="310" spans="1:5">
      <c r="A310" s="56" t="str">
        <f aca="1">INDEX(Raw_GI_Council!$B$2:$B$100,ROUNDUP(ROW(A309)/5,0))</f>
        <v>Narayana Health Insurance Ltd</v>
      </c>
      <c r="B310" s="56" t="str">
        <f aca="1">INDEX(Raw_GI_Council!$C$2:$C$100,ROUNDUP(ROW(A309)/5,0))</f>
        <v>April-25</v>
      </c>
      <c r="C310" s="56" t="str">
        <f aca="1">INDEX(Raw_GI_Council!$D$1:$H$1,1,MOD(ROW(A309)-1,5)+1)</f>
        <v>Health</v>
      </c>
      <c r="D310" s="90">
        <f aca="1">IF(INDEX(Raw_GI_Council!$D$2:$H$100,ROUNDUP(ROW(A309)/5,0),MOD(ROW(A309)-1,5)+1)="-",0,INDEX(Raw_GI_Council!$D$2:$H$100,ROUNDUP(ROW(A309)/5,0),MOD(ROW(A309)-1,5)+1))</f>
        <v>0.4</v>
      </c>
      <c r="E310" s="56" t="str">
        <f>"GI Council"</f>
        <v>GI Council</v>
      </c>
    </row>
    <row r="311" spans="1:5">
      <c r="A311" s="56" t="str">
        <f aca="1">INDEX(Raw_GI_Council!$B$2:$B$100,ROUNDUP(ROW(A310)/5,0))</f>
        <v>Narayana Health Insurance Ltd</v>
      </c>
      <c r="B311" s="56" t="str">
        <f aca="1">INDEX(Raw_GI_Council!$C$2:$C$100,ROUNDUP(ROW(A310)/5,0))</f>
        <v>April-25</v>
      </c>
      <c r="C311" s="56" t="str">
        <f aca="1">INDEX(Raw_GI_Council!$D$1:$H$1,1,MOD(ROW(A310)-1,5)+1)</f>
        <v>Grand_Total</v>
      </c>
      <c r="D311" s="90">
        <f aca="1">IF(INDEX(Raw_GI_Council!$D$2:$H$100,ROUNDUP(ROW(A310)/5,0),MOD(ROW(A310)-1,5)+1)="-",0,INDEX(Raw_GI_Council!$D$2:$H$100,ROUNDUP(ROW(A310)/5,0),MOD(ROW(A310)-1,5)+1))</f>
        <v>0.4</v>
      </c>
      <c r="E311" s="56" t="str">
        <f>"GI Council"</f>
        <v>GI Council</v>
      </c>
    </row>
    <row r="312" spans="1:5">
      <c r="A312" s="56" t="str">
        <f aca="1">INDEX(Raw_GI_Council!$B$2:$B$100,ROUNDUP(ROW(A311)/5,0))</f>
        <v>Star Health &amp; Allied Insurance Co Ltd</v>
      </c>
      <c r="B312" s="56" t="str">
        <f aca="1">INDEX(Raw_GI_Council!$C$2:$C$100,ROUNDUP(ROW(A311)/5,0))</f>
        <v>April-26</v>
      </c>
      <c r="C312" s="56" t="str">
        <f aca="1">INDEX(Raw_GI_Council!$D$1:$H$1,1,MOD(ROW(A311)-1,5)+1)</f>
        <v>Fire</v>
      </c>
      <c r="D312" s="90">
        <f aca="1">IF(INDEX(Raw_GI_Council!$D$2:$H$100,ROUNDUP(ROW(A311)/5,0),MOD(ROW(A311)-1,5)+1)="-",0,INDEX(Raw_GI_Council!$D$2:$H$100,ROUNDUP(ROW(A311)/5,0),MOD(ROW(A311)-1,5)+1))</f>
        <v>0</v>
      </c>
      <c r="E312" s="56" t="str">
        <f>"GI Council"</f>
        <v>GI Council</v>
      </c>
    </row>
    <row r="313" spans="1:5">
      <c r="A313" s="56" t="str">
        <f aca="1">INDEX(Raw_GI_Council!$B$2:$B$100,ROUNDUP(ROW(A312)/5,0))</f>
        <v>Star Health &amp; Allied Insurance Co Ltd</v>
      </c>
      <c r="B313" s="56" t="str">
        <f aca="1">INDEX(Raw_GI_Council!$C$2:$C$100,ROUNDUP(ROW(A312)/5,0))</f>
        <v>April-26</v>
      </c>
      <c r="C313" s="56" t="str">
        <f aca="1">INDEX(Raw_GI_Council!$D$1:$H$1,1,MOD(ROW(A312)-1,5)+1)</f>
        <v>Marine_Total</v>
      </c>
      <c r="D313" s="90">
        <f aca="1">IF(INDEX(Raw_GI_Council!$D$2:$H$100,ROUNDUP(ROW(A312)/5,0),MOD(ROW(A312)-1,5)+1)="-",0,INDEX(Raw_GI_Council!$D$2:$H$100,ROUNDUP(ROW(A312)/5,0),MOD(ROW(A312)-1,5)+1))</f>
        <v>0</v>
      </c>
      <c r="E313" s="56" t="str">
        <f>"GI Council"</f>
        <v>GI Council</v>
      </c>
    </row>
    <row r="314" spans="1:5">
      <c r="A314" s="56" t="str">
        <f aca="1">INDEX(Raw_GI_Council!$B$2:$B$100,ROUNDUP(ROW(A313)/5,0))</f>
        <v>Star Health &amp; Allied Insurance Co Ltd</v>
      </c>
      <c r="B314" s="56" t="str">
        <f aca="1">INDEX(Raw_GI_Council!$C$2:$C$100,ROUNDUP(ROW(A313)/5,0))</f>
        <v>April-26</v>
      </c>
      <c r="C314" s="56" t="str">
        <f aca="1">INDEX(Raw_GI_Council!$D$1:$H$1,1,MOD(ROW(A313)-1,5)+1)</f>
        <v>Motor_Total</v>
      </c>
      <c r="D314" s="90">
        <f aca="1">IF(INDEX(Raw_GI_Council!$D$2:$H$100,ROUNDUP(ROW(A313)/5,0),MOD(ROW(A313)-1,5)+1)="-",0,INDEX(Raw_GI_Council!$D$2:$H$100,ROUNDUP(ROW(A313)/5,0),MOD(ROW(A313)-1,5)+1))</f>
        <v>0</v>
      </c>
      <c r="E314" s="56" t="str">
        <f>"GI Council"</f>
        <v>GI Council</v>
      </c>
    </row>
    <row r="315" spans="1:5">
      <c r="A315" s="56" t="str">
        <f aca="1">INDEX(Raw_GI_Council!$B$2:$B$100,ROUNDUP(ROW(A314)/5,0))</f>
        <v>Star Health &amp; Allied Insurance Co Ltd</v>
      </c>
      <c r="B315" s="56" t="str">
        <f aca="1">INDEX(Raw_GI_Council!$C$2:$C$100,ROUNDUP(ROW(A314)/5,0))</f>
        <v>April-26</v>
      </c>
      <c r="C315" s="56" t="str">
        <f aca="1">INDEX(Raw_GI_Council!$D$1:$H$1,1,MOD(ROW(A314)-1,5)+1)</f>
        <v>Health</v>
      </c>
      <c r="D315" s="90">
        <f aca="1">IF(INDEX(Raw_GI_Council!$D$2:$H$100,ROUNDUP(ROW(A314)/5,0),MOD(ROW(A314)-1,5)+1)="-",0,INDEX(Raw_GI_Council!$D$2:$H$100,ROUNDUP(ROW(A314)/5,0),MOD(ROW(A314)-1,5)+1))</f>
        <v>1255.65000000000009</v>
      </c>
      <c r="E315" s="56" t="str">
        <f>"GI Council"</f>
        <v>GI Council</v>
      </c>
    </row>
    <row r="316" spans="1:5">
      <c r="A316" s="56" t="str">
        <f aca="1">INDEX(Raw_GI_Council!$B$2:$B$100,ROUNDUP(ROW(A315)/5,0))</f>
        <v>Star Health &amp; Allied Insurance Co Ltd</v>
      </c>
      <c r="B316" s="56" t="str">
        <f aca="1">INDEX(Raw_GI_Council!$C$2:$C$100,ROUNDUP(ROW(A315)/5,0))</f>
        <v>April-26</v>
      </c>
      <c r="C316" s="56" t="str">
        <f aca="1">INDEX(Raw_GI_Council!$D$1:$H$1,1,MOD(ROW(A315)-1,5)+1)</f>
        <v>Grand_Total</v>
      </c>
      <c r="D316" s="90">
        <f aca="1">IF(INDEX(Raw_GI_Council!$D$2:$H$100,ROUNDUP(ROW(A315)/5,0),MOD(ROW(A315)-1,5)+1)="-",0,INDEX(Raw_GI_Council!$D$2:$H$100,ROUNDUP(ROW(A315)/5,0),MOD(ROW(A315)-1,5)+1))</f>
        <v>1264.53999999999996</v>
      </c>
      <c r="E316" s="56" t="str">
        <f>"GI Council"</f>
        <v>GI Council</v>
      </c>
    </row>
    <row r="317" spans="1:5">
      <c r="A317" s="56" t="str">
        <f aca="1">INDEX(Raw_GI_Council!$B$2:$B$100,ROUNDUP(ROW(A316)/5,0))</f>
        <v>Star Health &amp; Allied Insurance Co Ltd</v>
      </c>
      <c r="B317" s="56" t="str">
        <f aca="1">INDEX(Raw_GI_Council!$C$2:$C$100,ROUNDUP(ROW(A316)/5,0))</f>
        <v>April-25</v>
      </c>
      <c r="C317" s="56" t="str">
        <f aca="1">INDEX(Raw_GI_Council!$D$1:$H$1,1,MOD(ROW(A316)-1,5)+1)</f>
        <v>Fire</v>
      </c>
      <c r="D317" s="90">
        <f aca="1">IF(INDEX(Raw_GI_Council!$D$2:$H$100,ROUNDUP(ROW(A316)/5,0),MOD(ROW(A316)-1,5)+1)="-",0,INDEX(Raw_GI_Council!$D$2:$H$100,ROUNDUP(ROW(A316)/5,0),MOD(ROW(A316)-1,5)+1))</f>
        <v>0</v>
      </c>
      <c r="E317" s="56" t="str">
        <f>"GI Council"</f>
        <v>GI Council</v>
      </c>
    </row>
    <row r="318" spans="1:5">
      <c r="A318" s="56" t="str">
        <f aca="1">INDEX(Raw_GI_Council!$B$2:$B$100,ROUNDUP(ROW(A317)/5,0))</f>
        <v>Star Health &amp; Allied Insurance Co Ltd</v>
      </c>
      <c r="B318" s="56" t="str">
        <f aca="1">INDEX(Raw_GI_Council!$C$2:$C$100,ROUNDUP(ROW(A317)/5,0))</f>
        <v>April-25</v>
      </c>
      <c r="C318" s="56" t="str">
        <f aca="1">INDEX(Raw_GI_Council!$D$1:$H$1,1,MOD(ROW(A317)-1,5)+1)</f>
        <v>Marine_Total</v>
      </c>
      <c r="D318" s="90">
        <f aca="1">IF(INDEX(Raw_GI_Council!$D$2:$H$100,ROUNDUP(ROW(A317)/5,0),MOD(ROW(A317)-1,5)+1)="-",0,INDEX(Raw_GI_Council!$D$2:$H$100,ROUNDUP(ROW(A317)/5,0),MOD(ROW(A317)-1,5)+1))</f>
        <v>0</v>
      </c>
      <c r="E318" s="56" t="str">
        <f>"GI Council"</f>
        <v>GI Council</v>
      </c>
    </row>
    <row r="319" spans="1:5">
      <c r="A319" s="56" t="str">
        <f aca="1">INDEX(Raw_GI_Council!$B$2:$B$100,ROUNDUP(ROW(A318)/5,0))</f>
        <v>Star Health &amp; Allied Insurance Co Ltd</v>
      </c>
      <c r="B319" s="56" t="str">
        <f aca="1">INDEX(Raw_GI_Council!$C$2:$C$100,ROUNDUP(ROW(A318)/5,0))</f>
        <v>April-25</v>
      </c>
      <c r="C319" s="56" t="str">
        <f aca="1">INDEX(Raw_GI_Council!$D$1:$H$1,1,MOD(ROW(A318)-1,5)+1)</f>
        <v>Motor_Total</v>
      </c>
      <c r="D319" s="90">
        <f aca="1">IF(INDEX(Raw_GI_Council!$D$2:$H$100,ROUNDUP(ROW(A318)/5,0),MOD(ROW(A318)-1,5)+1)="-",0,INDEX(Raw_GI_Council!$D$2:$H$100,ROUNDUP(ROW(A318)/5,0),MOD(ROW(A318)-1,5)+1))</f>
        <v>0</v>
      </c>
      <c r="E319" s="56" t="str">
        <f>"GI Council"</f>
        <v>GI Council</v>
      </c>
    </row>
    <row r="320" spans="1:5">
      <c r="A320" s="56" t="str">
        <f aca="1">INDEX(Raw_GI_Council!$B$2:$B$100,ROUNDUP(ROW(A319)/5,0))</f>
        <v>Star Health &amp; Allied Insurance Co Ltd</v>
      </c>
      <c r="B320" s="56" t="str">
        <f aca="1">INDEX(Raw_GI_Council!$C$2:$C$100,ROUNDUP(ROW(A319)/5,0))</f>
        <v>April-25</v>
      </c>
      <c r="C320" s="56" t="str">
        <f aca="1">INDEX(Raw_GI_Council!$D$1:$H$1,1,MOD(ROW(A319)-1,5)+1)</f>
        <v>Health</v>
      </c>
      <c r="D320" s="90">
        <f aca="1">IF(INDEX(Raw_GI_Council!$D$2:$H$100,ROUNDUP(ROW(A319)/5,0),MOD(ROW(A319)-1,5)+1)="-",0,INDEX(Raw_GI_Council!$D$2:$H$100,ROUNDUP(ROW(A319)/5,0),MOD(ROW(A319)-1,5)+1))</f>
        <v>1050.54999999999995</v>
      </c>
      <c r="E320" s="56" t="str">
        <f>"GI Council"</f>
        <v>GI Council</v>
      </c>
    </row>
    <row r="321" spans="1:5">
      <c r="A321" s="56" t="str">
        <f aca="1">INDEX(Raw_GI_Council!$B$2:$B$100,ROUNDUP(ROW(A320)/5,0))</f>
        <v>Star Health &amp; Allied Insurance Co Ltd</v>
      </c>
      <c r="B321" s="56" t="str">
        <f aca="1">INDEX(Raw_GI_Council!$C$2:$C$100,ROUNDUP(ROW(A320)/5,0))</f>
        <v>April-25</v>
      </c>
      <c r="C321" s="56" t="str">
        <f aca="1">INDEX(Raw_GI_Council!$D$1:$H$1,1,MOD(ROW(A320)-1,5)+1)</f>
        <v>Grand_Total</v>
      </c>
      <c r="D321" s="90">
        <f aca="1">IF(INDEX(Raw_GI_Council!$D$2:$H$100,ROUNDUP(ROW(A320)/5,0),MOD(ROW(A320)-1,5)+1)="-",0,INDEX(Raw_GI_Council!$D$2:$H$100,ROUNDUP(ROW(A320)/5,0),MOD(ROW(A320)-1,5)+1))</f>
        <v>1060.16000000000008</v>
      </c>
      <c r="E321" s="56" t="str">
        <f>"GI Council"</f>
        <v>GI Council</v>
      </c>
    </row>
    <row r="322" spans="1:5">
      <c r="A322" s="56" t="str">
        <f aca="1">INDEX(Raw_GI_Council!$B$2:$B$100,ROUNDUP(ROW(A321)/5,0))</f>
        <v>Agriculture Insurance Co Of India Ltd</v>
      </c>
      <c r="B322" s="56" t="str">
        <f aca="1">INDEX(Raw_GI_Council!$C$2:$C$100,ROUNDUP(ROW(A321)/5,0))</f>
        <v>April-26</v>
      </c>
      <c r="C322" s="56" t="str">
        <f aca="1">INDEX(Raw_GI_Council!$D$1:$H$1,1,MOD(ROW(A321)-1,5)+1)</f>
        <v>Fire</v>
      </c>
      <c r="D322" s="90">
        <f aca="1">IF(INDEX(Raw_GI_Council!$D$2:$H$100,ROUNDUP(ROW(A321)/5,0),MOD(ROW(A321)-1,5)+1)="-",0,INDEX(Raw_GI_Council!$D$2:$H$100,ROUNDUP(ROW(A321)/5,0),MOD(ROW(A321)-1,5)+1))</f>
        <v>0</v>
      </c>
      <c r="E322" s="56" t="str">
        <f>"GI Council"</f>
        <v>GI Council</v>
      </c>
    </row>
    <row r="323" spans="1:5">
      <c r="A323" s="56" t="str">
        <f aca="1">INDEX(Raw_GI_Council!$B$2:$B$100,ROUNDUP(ROW(A322)/5,0))</f>
        <v>Agriculture Insurance Co Of India Ltd</v>
      </c>
      <c r="B323" s="56" t="str">
        <f aca="1">INDEX(Raw_GI_Council!$C$2:$C$100,ROUNDUP(ROW(A322)/5,0))</f>
        <v>April-26</v>
      </c>
      <c r="C323" s="56" t="str">
        <f aca="1">INDEX(Raw_GI_Council!$D$1:$H$1,1,MOD(ROW(A322)-1,5)+1)</f>
        <v>Marine_Total</v>
      </c>
      <c r="D323" s="90">
        <f aca="1">IF(INDEX(Raw_GI_Council!$D$2:$H$100,ROUNDUP(ROW(A322)/5,0),MOD(ROW(A322)-1,5)+1)="-",0,INDEX(Raw_GI_Council!$D$2:$H$100,ROUNDUP(ROW(A322)/5,0),MOD(ROW(A322)-1,5)+1))</f>
        <v>0</v>
      </c>
      <c r="E323" s="56" t="str">
        <f>"GI Council"</f>
        <v>GI Council</v>
      </c>
    </row>
    <row r="324" spans="1:5">
      <c r="A324" s="56" t="str">
        <f aca="1">INDEX(Raw_GI_Council!$B$2:$B$100,ROUNDUP(ROW(A323)/5,0))</f>
        <v>Agriculture Insurance Co Of India Ltd</v>
      </c>
      <c r="B324" s="56" t="str">
        <f aca="1">INDEX(Raw_GI_Council!$C$2:$C$100,ROUNDUP(ROW(A323)/5,0))</f>
        <v>April-26</v>
      </c>
      <c r="C324" s="56" t="str">
        <f aca="1">INDEX(Raw_GI_Council!$D$1:$H$1,1,MOD(ROW(A323)-1,5)+1)</f>
        <v>Motor_Total</v>
      </c>
      <c r="D324" s="90">
        <f aca="1">IF(INDEX(Raw_GI_Council!$D$2:$H$100,ROUNDUP(ROW(A323)/5,0),MOD(ROW(A323)-1,5)+1)="-",0,INDEX(Raw_GI_Council!$D$2:$H$100,ROUNDUP(ROW(A323)/5,0),MOD(ROW(A323)-1,5)+1))</f>
        <v>0</v>
      </c>
      <c r="E324" s="56" t="str">
        <f>"GI Council"</f>
        <v>GI Council</v>
      </c>
    </row>
    <row r="325" spans="1:5">
      <c r="A325" s="56" t="str">
        <f aca="1">INDEX(Raw_GI_Council!$B$2:$B$100,ROUNDUP(ROW(A324)/5,0))</f>
        <v>Agriculture Insurance Co Of India Ltd</v>
      </c>
      <c r="B325" s="56" t="str">
        <f aca="1">INDEX(Raw_GI_Council!$C$2:$C$100,ROUNDUP(ROW(A324)/5,0))</f>
        <v>April-26</v>
      </c>
      <c r="C325" s="56" t="str">
        <f aca="1">INDEX(Raw_GI_Council!$D$1:$H$1,1,MOD(ROW(A324)-1,5)+1)</f>
        <v>Health</v>
      </c>
      <c r="D325" s="90">
        <f aca="1">IF(INDEX(Raw_GI_Council!$D$2:$H$100,ROUNDUP(ROW(A324)/5,0),MOD(ROW(A324)-1,5)+1)="-",0,INDEX(Raw_GI_Council!$D$2:$H$100,ROUNDUP(ROW(A324)/5,0),MOD(ROW(A324)-1,5)+1))</f>
        <v>0</v>
      </c>
      <c r="E325" s="56" t="str">
        <f>"GI Council"</f>
        <v>GI Council</v>
      </c>
    </row>
    <row r="326" spans="1:5">
      <c r="A326" s="56" t="str">
        <f aca="1">INDEX(Raw_GI_Council!$B$2:$B$100,ROUNDUP(ROW(A325)/5,0))</f>
        <v>Agriculture Insurance Co Of India Ltd</v>
      </c>
      <c r="B326" s="56" t="str">
        <f aca="1">INDEX(Raw_GI_Council!$C$2:$C$100,ROUNDUP(ROW(A325)/5,0))</f>
        <v>April-26</v>
      </c>
      <c r="C326" s="56" t="str">
        <f aca="1">INDEX(Raw_GI_Council!$D$1:$H$1,1,MOD(ROW(A325)-1,5)+1)</f>
        <v>Grand_Total</v>
      </c>
      <c r="D326" s="90">
        <f aca="1">IF(INDEX(Raw_GI_Council!$D$2:$H$100,ROUNDUP(ROW(A325)/5,0),MOD(ROW(A325)-1,5)+1)="-",0,INDEX(Raw_GI_Council!$D$2:$H$100,ROUNDUP(ROW(A325)/5,0),MOD(ROW(A325)-1,5)+1))</f>
        <v>16.4800000000000004</v>
      </c>
      <c r="E326" s="56" t="str">
        <f>"GI Council"</f>
        <v>GI Council</v>
      </c>
    </row>
    <row r="327" spans="1:5">
      <c r="A327" s="56" t="str">
        <f aca="1">INDEX(Raw_GI_Council!$B$2:$B$100,ROUNDUP(ROW(A326)/5,0))</f>
        <v>Agriculture Insurance Co Of India Ltd</v>
      </c>
      <c r="B327" s="56" t="str">
        <f aca="1">INDEX(Raw_GI_Council!$C$2:$C$100,ROUNDUP(ROW(A326)/5,0))</f>
        <v>April-25</v>
      </c>
      <c r="C327" s="56" t="str">
        <f aca="1">INDEX(Raw_GI_Council!$D$1:$H$1,1,MOD(ROW(A326)-1,5)+1)</f>
        <v>Fire</v>
      </c>
      <c r="D327" s="90">
        <f aca="1">IF(INDEX(Raw_GI_Council!$D$2:$H$100,ROUNDUP(ROW(A326)/5,0),MOD(ROW(A326)-1,5)+1)="-",0,INDEX(Raw_GI_Council!$D$2:$H$100,ROUNDUP(ROW(A326)/5,0),MOD(ROW(A326)-1,5)+1))</f>
        <v>0</v>
      </c>
      <c r="E327" s="56" t="str">
        <f>"GI Council"</f>
        <v>GI Council</v>
      </c>
    </row>
    <row r="328" spans="1:5">
      <c r="A328" s="56" t="str">
        <f aca="1">INDEX(Raw_GI_Council!$B$2:$B$100,ROUNDUP(ROW(A327)/5,0))</f>
        <v>Agriculture Insurance Co Of India Ltd</v>
      </c>
      <c r="B328" s="56" t="str">
        <f aca="1">INDEX(Raw_GI_Council!$C$2:$C$100,ROUNDUP(ROW(A327)/5,0))</f>
        <v>April-25</v>
      </c>
      <c r="C328" s="56" t="str">
        <f aca="1">INDEX(Raw_GI_Council!$D$1:$H$1,1,MOD(ROW(A327)-1,5)+1)</f>
        <v>Marine_Total</v>
      </c>
      <c r="D328" s="90">
        <f aca="1">IF(INDEX(Raw_GI_Council!$D$2:$H$100,ROUNDUP(ROW(A327)/5,0),MOD(ROW(A327)-1,5)+1)="-",0,INDEX(Raw_GI_Council!$D$2:$H$100,ROUNDUP(ROW(A327)/5,0),MOD(ROW(A327)-1,5)+1))</f>
        <v>0</v>
      </c>
      <c r="E328" s="56" t="str">
        <f>"GI Council"</f>
        <v>GI Council</v>
      </c>
    </row>
    <row r="329" spans="1:5">
      <c r="A329" s="56" t="str">
        <f aca="1">INDEX(Raw_GI_Council!$B$2:$B$100,ROUNDUP(ROW(A328)/5,0))</f>
        <v>Agriculture Insurance Co Of India Ltd</v>
      </c>
      <c r="B329" s="56" t="str">
        <f aca="1">INDEX(Raw_GI_Council!$C$2:$C$100,ROUNDUP(ROW(A328)/5,0))</f>
        <v>April-25</v>
      </c>
      <c r="C329" s="56" t="str">
        <f aca="1">INDEX(Raw_GI_Council!$D$1:$H$1,1,MOD(ROW(A328)-1,5)+1)</f>
        <v>Motor_Total</v>
      </c>
      <c r="D329" s="90">
        <f aca="1">IF(INDEX(Raw_GI_Council!$D$2:$H$100,ROUNDUP(ROW(A328)/5,0),MOD(ROW(A328)-1,5)+1)="-",0,INDEX(Raw_GI_Council!$D$2:$H$100,ROUNDUP(ROW(A328)/5,0),MOD(ROW(A328)-1,5)+1))</f>
        <v>0</v>
      </c>
      <c r="E329" s="56" t="str">
        <f>"GI Council"</f>
        <v>GI Council</v>
      </c>
    </row>
    <row r="330" spans="1:5">
      <c r="A330" s="56" t="str">
        <f aca="1">INDEX(Raw_GI_Council!$B$2:$B$100,ROUNDUP(ROW(A329)/5,0))</f>
        <v>Agriculture Insurance Co Of India Ltd</v>
      </c>
      <c r="B330" s="56" t="str">
        <f aca="1">INDEX(Raw_GI_Council!$C$2:$C$100,ROUNDUP(ROW(A329)/5,0))</f>
        <v>April-25</v>
      </c>
      <c r="C330" s="56" t="str">
        <f aca="1">INDEX(Raw_GI_Council!$D$1:$H$1,1,MOD(ROW(A329)-1,5)+1)</f>
        <v>Health</v>
      </c>
      <c r="D330" s="90">
        <f aca="1">IF(INDEX(Raw_GI_Council!$D$2:$H$100,ROUNDUP(ROW(A329)/5,0),MOD(ROW(A329)-1,5)+1)="-",0,INDEX(Raw_GI_Council!$D$2:$H$100,ROUNDUP(ROW(A329)/5,0),MOD(ROW(A329)-1,5)+1))</f>
        <v>0</v>
      </c>
      <c r="E330" s="56" t="str">
        <f>"GI Council"</f>
        <v>GI Council</v>
      </c>
    </row>
    <row r="331" spans="1:5">
      <c r="A331" s="56" t="str">
        <f aca="1">INDEX(Raw_GI_Council!$B$2:$B$100,ROUNDUP(ROW(A330)/5,0))</f>
        <v>Agriculture Insurance Co Of India Ltd</v>
      </c>
      <c r="B331" s="56" t="str">
        <f aca="1">INDEX(Raw_GI_Council!$C$2:$C$100,ROUNDUP(ROW(A330)/5,0))</f>
        <v>April-25</v>
      </c>
      <c r="C331" s="56" t="str">
        <f aca="1">INDEX(Raw_GI_Council!$D$1:$H$1,1,MOD(ROW(A330)-1,5)+1)</f>
        <v>Grand_Total</v>
      </c>
      <c r="D331" s="90">
        <f aca="1">IF(INDEX(Raw_GI_Council!$D$2:$H$100,ROUNDUP(ROW(A330)/5,0),MOD(ROW(A330)-1,5)+1)="-",0,INDEX(Raw_GI_Council!$D$2:$H$100,ROUNDUP(ROW(A330)/5,0),MOD(ROW(A330)-1,5)+1))</f>
        <v>5.78000000000000025</v>
      </c>
      <c r="E331" s="56" t="str">
        <f>"GI Council"</f>
        <v>GI Council</v>
      </c>
    </row>
    <row r="332" spans="1:5">
      <c r="A332" s="56" t="str">
        <f aca="1">INDEX(Raw_GI_Council!$B$2:$B$100,ROUNDUP(ROW(A331)/5,0))</f>
        <v>ECGC Ltd</v>
      </c>
      <c r="B332" s="56" t="str">
        <f aca="1">INDEX(Raw_GI_Council!$C$2:$C$100,ROUNDUP(ROW(A331)/5,0))</f>
        <v>April-26</v>
      </c>
      <c r="C332" s="56" t="str">
        <f aca="1">INDEX(Raw_GI_Council!$D$1:$H$1,1,MOD(ROW(A331)-1,5)+1)</f>
        <v>Fire</v>
      </c>
      <c r="D332" s="90">
        <f aca="1">IF(INDEX(Raw_GI_Council!$D$2:$H$100,ROUNDUP(ROW(A331)/5,0),MOD(ROW(A331)-1,5)+1)="-",0,INDEX(Raw_GI_Council!$D$2:$H$100,ROUNDUP(ROW(A331)/5,0),MOD(ROW(A331)-1,5)+1))</f>
        <v>0</v>
      </c>
      <c r="E332" s="56" t="str">
        <f>"GI Council"</f>
        <v>GI Council</v>
      </c>
    </row>
    <row r="333" spans="1:5">
      <c r="A333" s="56" t="str">
        <f aca="1">INDEX(Raw_GI_Council!$B$2:$B$100,ROUNDUP(ROW(A332)/5,0))</f>
        <v>ECGC Ltd</v>
      </c>
      <c r="B333" s="56" t="str">
        <f aca="1">INDEX(Raw_GI_Council!$C$2:$C$100,ROUNDUP(ROW(A332)/5,0))</f>
        <v>April-26</v>
      </c>
      <c r="C333" s="56" t="str">
        <f aca="1">INDEX(Raw_GI_Council!$D$1:$H$1,1,MOD(ROW(A332)-1,5)+1)</f>
        <v>Marine_Total</v>
      </c>
      <c r="D333" s="90">
        <f aca="1">IF(INDEX(Raw_GI_Council!$D$2:$H$100,ROUNDUP(ROW(A332)/5,0),MOD(ROW(A332)-1,5)+1)="-",0,INDEX(Raw_GI_Council!$D$2:$H$100,ROUNDUP(ROW(A332)/5,0),MOD(ROW(A332)-1,5)+1))</f>
        <v>0</v>
      </c>
      <c r="E333" s="56" t="str">
        <f>"GI Council"</f>
        <v>GI Council</v>
      </c>
    </row>
    <row r="334" spans="1:5">
      <c r="A334" s="56" t="str">
        <f aca="1">INDEX(Raw_GI_Council!$B$2:$B$100,ROUNDUP(ROW(A333)/5,0))</f>
        <v>ECGC Ltd</v>
      </c>
      <c r="B334" s="56" t="str">
        <f aca="1">INDEX(Raw_GI_Council!$C$2:$C$100,ROUNDUP(ROW(A333)/5,0))</f>
        <v>April-26</v>
      </c>
      <c r="C334" s="56" t="str">
        <f aca="1">INDEX(Raw_GI_Council!$D$1:$H$1,1,MOD(ROW(A333)-1,5)+1)</f>
        <v>Motor_Total</v>
      </c>
      <c r="D334" s="90">
        <f aca="1">IF(INDEX(Raw_GI_Council!$D$2:$H$100,ROUNDUP(ROW(A333)/5,0),MOD(ROW(A333)-1,5)+1)="-",0,INDEX(Raw_GI_Council!$D$2:$H$100,ROUNDUP(ROW(A333)/5,0),MOD(ROW(A333)-1,5)+1))</f>
        <v>0</v>
      </c>
      <c r="E334" s="56" t="str">
        <f>"GI Council"</f>
        <v>GI Council</v>
      </c>
    </row>
    <row r="335" spans="1:5">
      <c r="A335" s="56" t="str">
        <f aca="1">INDEX(Raw_GI_Council!$B$2:$B$100,ROUNDUP(ROW(A334)/5,0))</f>
        <v>ECGC Ltd</v>
      </c>
      <c r="B335" s="56" t="str">
        <f aca="1">INDEX(Raw_GI_Council!$C$2:$C$100,ROUNDUP(ROW(A334)/5,0))</f>
        <v>April-26</v>
      </c>
      <c r="C335" s="56" t="str">
        <f aca="1">INDEX(Raw_GI_Council!$D$1:$H$1,1,MOD(ROW(A334)-1,5)+1)</f>
        <v>Health</v>
      </c>
      <c r="D335" s="90">
        <f aca="1">IF(INDEX(Raw_GI_Council!$D$2:$H$100,ROUNDUP(ROW(A334)/5,0),MOD(ROW(A334)-1,5)+1)="-",0,INDEX(Raw_GI_Council!$D$2:$H$100,ROUNDUP(ROW(A334)/5,0),MOD(ROW(A334)-1,5)+1))</f>
        <v>0</v>
      </c>
      <c r="E335" s="56" t="str">
        <f>"GI Council"</f>
        <v>GI Council</v>
      </c>
    </row>
    <row r="336" spans="1:5">
      <c r="A336" s="56" t="str">
        <f aca="1">INDEX(Raw_GI_Council!$B$2:$B$100,ROUNDUP(ROW(A335)/5,0))</f>
        <v>ECGC Ltd</v>
      </c>
      <c r="B336" s="56" t="str">
        <f aca="1">INDEX(Raw_GI_Council!$C$2:$C$100,ROUNDUP(ROW(A335)/5,0))</f>
        <v>April-26</v>
      </c>
      <c r="C336" s="56" t="str">
        <f aca="1">INDEX(Raw_GI_Council!$D$1:$H$1,1,MOD(ROW(A335)-1,5)+1)</f>
        <v>Grand_Total</v>
      </c>
      <c r="D336" s="90">
        <f aca="1">IF(INDEX(Raw_GI_Council!$D$2:$H$100,ROUNDUP(ROW(A335)/5,0),MOD(ROW(A335)-1,5)+1)="-",0,INDEX(Raw_GI_Council!$D$2:$H$100,ROUNDUP(ROW(A335)/5,0),MOD(ROW(A335)-1,5)+1))</f>
        <v>106.470000000000013</v>
      </c>
      <c r="E336" s="56" t="str">
        <f>"GI Council"</f>
        <v>GI Council</v>
      </c>
    </row>
    <row r="337" spans="1:5">
      <c r="A337" s="56" t="str">
        <f aca="1">INDEX(Raw_GI_Council!$B$2:$B$100,ROUNDUP(ROW(A336)/5,0))</f>
        <v>ECGC Ltd</v>
      </c>
      <c r="B337" s="56" t="str">
        <f aca="1">INDEX(Raw_GI_Council!$C$2:$C$100,ROUNDUP(ROW(A336)/5,0))</f>
        <v>April-25</v>
      </c>
      <c r="C337" s="56" t="str">
        <f aca="1">INDEX(Raw_GI_Council!$D$1:$H$1,1,MOD(ROW(A336)-1,5)+1)</f>
        <v>Fire</v>
      </c>
      <c r="D337" s="90">
        <f aca="1">IF(INDEX(Raw_GI_Council!$D$2:$H$100,ROUNDUP(ROW(A336)/5,0),MOD(ROW(A336)-1,5)+1)="-",0,INDEX(Raw_GI_Council!$D$2:$H$100,ROUNDUP(ROW(A336)/5,0),MOD(ROW(A336)-1,5)+1))</f>
        <v>0</v>
      </c>
      <c r="E337" s="56" t="str">
        <f>"GI Council"</f>
        <v>GI Council</v>
      </c>
    </row>
    <row r="338" spans="1:5">
      <c r="A338" s="56" t="str">
        <f aca="1">INDEX(Raw_GI_Council!$B$2:$B$100,ROUNDUP(ROW(A337)/5,0))</f>
        <v>ECGC Ltd</v>
      </c>
      <c r="B338" s="56" t="str">
        <f aca="1">INDEX(Raw_GI_Council!$C$2:$C$100,ROUNDUP(ROW(A337)/5,0))</f>
        <v>April-25</v>
      </c>
      <c r="C338" s="56" t="str">
        <f aca="1">INDEX(Raw_GI_Council!$D$1:$H$1,1,MOD(ROW(A337)-1,5)+1)</f>
        <v>Marine_Total</v>
      </c>
      <c r="D338" s="90">
        <f aca="1">IF(INDEX(Raw_GI_Council!$D$2:$H$100,ROUNDUP(ROW(A337)/5,0),MOD(ROW(A337)-1,5)+1)="-",0,INDEX(Raw_GI_Council!$D$2:$H$100,ROUNDUP(ROW(A337)/5,0),MOD(ROW(A337)-1,5)+1))</f>
        <v>0</v>
      </c>
      <c r="E338" s="56" t="str">
        <f>"GI Council"</f>
        <v>GI Council</v>
      </c>
    </row>
    <row r="339" spans="1:5">
      <c r="A339" s="56" t="str">
        <f aca="1">INDEX(Raw_GI_Council!$B$2:$B$100,ROUNDUP(ROW(A338)/5,0))</f>
        <v>ECGC Ltd</v>
      </c>
      <c r="B339" s="56" t="str">
        <f aca="1">INDEX(Raw_GI_Council!$C$2:$C$100,ROUNDUP(ROW(A338)/5,0))</f>
        <v>April-25</v>
      </c>
      <c r="C339" s="56" t="str">
        <f aca="1">INDEX(Raw_GI_Council!$D$1:$H$1,1,MOD(ROW(A338)-1,5)+1)</f>
        <v>Motor_Total</v>
      </c>
      <c r="D339" s="90">
        <f aca="1">IF(INDEX(Raw_GI_Council!$D$2:$H$100,ROUNDUP(ROW(A338)/5,0),MOD(ROW(A338)-1,5)+1)="-",0,INDEX(Raw_GI_Council!$D$2:$H$100,ROUNDUP(ROW(A338)/5,0),MOD(ROW(A338)-1,5)+1))</f>
        <v>0</v>
      </c>
      <c r="E339" s="56" t="str">
        <f>"GI Council"</f>
        <v>GI Council</v>
      </c>
    </row>
    <row r="340" spans="1:5">
      <c r="A340" s="56" t="str">
        <f aca="1">INDEX(Raw_GI_Council!$B$2:$B$100,ROUNDUP(ROW(A339)/5,0))</f>
        <v>ECGC Ltd</v>
      </c>
      <c r="B340" s="56" t="str">
        <f aca="1">INDEX(Raw_GI_Council!$C$2:$C$100,ROUNDUP(ROW(A339)/5,0))</f>
        <v>April-25</v>
      </c>
      <c r="C340" s="56" t="str">
        <f aca="1">INDEX(Raw_GI_Council!$D$1:$H$1,1,MOD(ROW(A339)-1,5)+1)</f>
        <v>Health</v>
      </c>
      <c r="D340" s="90">
        <f aca="1">IF(INDEX(Raw_GI_Council!$D$2:$H$100,ROUNDUP(ROW(A339)/5,0),MOD(ROW(A339)-1,5)+1)="-",0,INDEX(Raw_GI_Council!$D$2:$H$100,ROUNDUP(ROW(A339)/5,0),MOD(ROW(A339)-1,5)+1))</f>
        <v>0</v>
      </c>
      <c r="E340" s="56" t="str">
        <f>"GI Council"</f>
        <v>GI Council</v>
      </c>
    </row>
    <row r="341" spans="1:5">
      <c r="A341" s="56" t="str">
        <f aca="1">INDEX(Raw_GI_Council!$B$2:$B$100,ROUNDUP(ROW(A340)/5,0))</f>
        <v>ECGC Ltd</v>
      </c>
      <c r="B341" s="56" t="str">
        <f aca="1">INDEX(Raw_GI_Council!$C$2:$C$100,ROUNDUP(ROW(A340)/5,0))</f>
        <v>April-25</v>
      </c>
      <c r="C341" s="56" t="str">
        <f aca="1">INDEX(Raw_GI_Council!$D$1:$H$1,1,MOD(ROW(A340)-1,5)+1)</f>
        <v>Grand_Total</v>
      </c>
      <c r="D341" s="90">
        <f aca="1">IF(INDEX(Raw_GI_Council!$D$2:$H$100,ROUNDUP(ROW(A340)/5,0),MOD(ROW(A340)-1,5)+1)="-",0,INDEX(Raw_GI_Council!$D$2:$H$100,ROUNDUP(ROW(A340)/5,0),MOD(ROW(A340)-1,5)+1))</f>
        <v>87.6599999999999824</v>
      </c>
      <c r="E341" s="56" t="str">
        <f>"GI Council"</f>
        <v>GI Council</v>
      </c>
    </row>
  </sheetData>
  <printOptions>
    <extLst>
      <ext uri="smNativeData">
        <pm:pageFlags xmlns:pm="smNativeData" id="1780841053" printRowHead="0" printColHead="0" printHeadLine="0" printFootLine="0" autoHeightHeader="0" autoHeightFooter="0" fitToPageBoth="0"/>
      </ext>
    </extLst>
  </printOptions>
  <pageMargins left="1.000000" right="1.000000" top="1.000000" bottom="1.000000" header="0.393750" footer="0.393750"/>
  <pageSetup paperSize="1" fitToWidth="0" fitToHeight="1" pageOrder="overThenDown"/>
  <headerFooter>
    <extLst>
      <ext uri="smNativeData">
        <pm:header xmlns:pm="smNativeData" id="1780841053" l="56" r="56" t="56" b="56" borderId="0" fillId="0" vertical="0"/>
        <pm:footer xmlns:pm="smNativeData" id="1780841053" l="56" r="56" t="56" b="56" borderId="0" fillId="0" vertical="2"/>
        <pm:paperBin xmlns:pm="smNativeData" id="1780841053" Id="0" type="0" value="0"/>
        <pm:paperBin xmlns:pm="smNativeData" id="1780841053" Id="1" type="0" value="0"/>
      </ext>
    </extLst>
  </headerFooter>
  <extLst>
    <ext uri="smNativeData">
      <pm:sheetPrefs xmlns:pm="smNativeData" day="1780841053" outlineProtect="1" showHorizontalRuler="1" showVerticalRuler="1" showAltShade="0">
        <pm:shade id="0" type="0" fgLvl="100" fgClr="000000" bgLvl="100" bgClr="FFFFFF"/>
        <pm:shade id="1" type="0" fgLvl="100" fgClr="000000" bgLvl="100" bgClr="FFFFFF"/>
      </pm:sheetPrefs>
    </ext>
  </extLst>
</worksheet>
</file>

<file path=xl/worksheets/sheet9.xml><?xml version="1.0" encoding="utf-8"?>
<worksheet xmlns="http://schemas.openxmlformats.org/spreadsheetml/2006/main" xmlns:r="http://schemas.openxmlformats.org/officeDocument/2006/relationships" xmlns:mc="http://schemas.openxmlformats.org/markup-compatibility/2006">
  <dimension ref="A1:H69"/>
  <sheetViews>
    <sheetView view="normal" zoomScale="110" workbookViewId="0">
      <selection activeCell="B6" sqref="B6"/>
    </sheetView>
  </sheetViews>
  <sheetFormatPr baseColWidth="9" defaultColWidth="10.000000" defaultRowHeight="13.45"/>
  <cols>
    <col min="1" max="1" width="39.567568" customWidth="1" style="0"/>
    <col min="2" max="2" width="40.063063" customWidth="1" style="0"/>
    <col min="3" max="3" width="9.756757" customWidth="1" style="0"/>
    <col min="4" max="4" width="10.909910" customWidth="1" style="0"/>
    <col min="5" max="5" width="18.477477" customWidth="1" style="0"/>
    <col min="6" max="6" width="14.819820" customWidth="1" style="0"/>
    <col min="7" max="7" width="11.594595" customWidth="1" style="0"/>
    <col min="8" max="8" width="15.513514" customWidth="1" style="0"/>
    <col min="9" max="16384" width="10.000000" style="0"/>
  </cols>
  <sheetData>
    <row r="1" spans="1:8" s="7" customFormat="1" ht="19.75" customHeight="1">
      <c r="A1" s="136" t="s">
        <v>232</v>
      </c>
      <c r="B1" s="136" t="s">
        <v>73</v>
      </c>
      <c r="C1" s="136" t="s">
        <v>230</v>
      </c>
      <c r="D1" s="136" t="s">
        <v>55</v>
      </c>
      <c r="E1" s="136" t="s">
        <v>227</v>
      </c>
      <c r="F1" s="136" t="s">
        <v>228</v>
      </c>
      <c r="G1" s="136" t="s">
        <v>56</v>
      </c>
      <c r="H1" s="136" t="s">
        <v>229</v>
      </c>
    </row>
    <row r="2" spans="1:8">
      <c r="A2" s="5" t="s">
        <v>104</v>
      </c>
      <c r="B2" s="8" t="str">
        <f>IF(A2="Previous Year",B1,A2)</f>
        <v>Acko General Insurance Ltd</v>
      </c>
      <c r="C2" s="8" t="str">
        <f>IF(A2="Previous Year","April-25","April-26")</f>
        <v>April-26</v>
      </c>
      <c r="D2" s="5" t="n">
        <v>0.1</v>
      </c>
      <c r="E2" s="6" t="n">
        <v>0</v>
      </c>
      <c r="F2" s="5" t="n">
        <v>93.25</v>
      </c>
      <c r="G2" s="5" t="n">
        <v>172.419999999999959</v>
      </c>
      <c r="H2" s="5" t="n">
        <v>286.54000000000002</v>
      </c>
    </row>
    <row r="3" spans="1:8">
      <c r="A3" s="5" t="s">
        <v>233</v>
      </c>
      <c r="B3" s="8" t="str">
        <f>IF(A3="Previous Year",B2,A3)</f>
        <v>Acko General Insurance Ltd</v>
      </c>
      <c r="C3" s="8" t="str">
        <f>IF(A3="Previous Year","April-25","April-26")</f>
        <v>April-25</v>
      </c>
      <c r="D3" s="6" t="n">
        <v>0</v>
      </c>
      <c r="E3" s="6" t="n">
        <v>0</v>
      </c>
      <c r="F3" s="5" t="n">
        <v>76.8599999999999994</v>
      </c>
      <c r="G3" s="5" t="n">
        <v>89.9899999999999807</v>
      </c>
      <c r="H3" s="5" t="n">
        <v>177.430000000000007</v>
      </c>
    </row>
    <row r="4" spans="1:8">
      <c r="A4" s="5" t="s">
        <v>79</v>
      </c>
      <c r="B4" s="8" t="str">
        <f>IF(A4="Previous Year",B3,A4)</f>
        <v>Bajaj General Insurance Limited </v>
      </c>
      <c r="C4" s="8" t="str">
        <f>IF(A4="Previous Year","April-25","April-26")</f>
        <v>April-26</v>
      </c>
      <c r="D4" s="5" t="n">
        <v>578.539999999999964</v>
      </c>
      <c r="E4" s="5" t="n">
        <v>111.470000000000013</v>
      </c>
      <c r="F4" s="5" t="n">
        <v>615.230000000000018</v>
      </c>
      <c r="G4" s="5" t="n">
        <v>942.860000000000014</v>
      </c>
      <c r="H4" s="5" t="n">
        <v>2665.55000000000018</v>
      </c>
    </row>
    <row r="5" spans="1:8">
      <c r="A5" s="5" t="s">
        <v>233</v>
      </c>
      <c r="B5" s="8" t="str">
        <f>IF(A5="Previous Year",B4,A5)</f>
        <v>Bajaj General Insurance Limited </v>
      </c>
      <c r="C5" s="8" t="str">
        <f>IF(A5="Previous Year","April-25","April-26")</f>
        <v>April-25</v>
      </c>
      <c r="D5" s="5" t="n">
        <v>778.639999999999986</v>
      </c>
      <c r="E5" s="5" t="n">
        <v>72.9599999999999937</v>
      </c>
      <c r="F5" s="5" t="n">
        <v>546.710000000000036</v>
      </c>
      <c r="G5" s="5" t="n">
        <v>645.909999999999968</v>
      </c>
      <c r="H5" s="5" t="n">
        <v>2402.82000000000016</v>
      </c>
    </row>
    <row r="6" spans="1:8">
      <c r="A6" s="5" t="s">
        <v>90</v>
      </c>
      <c r="B6" s="8" t="str">
        <f>IF(A6="Previous Year",B5,A6)</f>
        <v>Cholamandalam MS General Insurance Co Ltd</v>
      </c>
      <c r="C6" s="8" t="str">
        <f>IF(A6="Previous Year","April-25","April-26")</f>
        <v>April-26</v>
      </c>
      <c r="D6" s="5" t="n">
        <v>98.8299999999999983</v>
      </c>
      <c r="E6" s="5" t="n">
        <v>73.7800000000000011</v>
      </c>
      <c r="F6" s="5" t="n">
        <v>451.490000000000009</v>
      </c>
      <c r="G6" s="5" t="n">
        <v>85.7600000000000051</v>
      </c>
      <c r="H6" s="5" t="n">
        <v>745.379999999999995</v>
      </c>
    </row>
    <row r="7" spans="1:8">
      <c r="A7" s="5" t="s">
        <v>233</v>
      </c>
      <c r="B7" s="8" t="str">
        <f>IF(A7="Previous Year",B6,A7)</f>
        <v>Cholamandalam MS General Insurance Co Ltd</v>
      </c>
      <c r="C7" s="8" t="str">
        <f>IF(A7="Previous Year","April-25","April-26")</f>
        <v>April-25</v>
      </c>
      <c r="D7" s="5" t="n">
        <v>123.310000000000002</v>
      </c>
      <c r="E7" s="5" t="n">
        <v>30.75</v>
      </c>
      <c r="F7" s="5" t="n">
        <v>404.490000000000009</v>
      </c>
      <c r="G7" s="5" t="n">
        <v>122.640000000000001</v>
      </c>
      <c r="H7" s="5" t="n">
        <v>708.580000000000041</v>
      </c>
    </row>
    <row r="8" spans="1:8">
      <c r="A8" s="5" t="s">
        <v>96</v>
      </c>
      <c r="B8" s="8" t="str">
        <f>IF(A8="Previous Year",B7,A8)</f>
        <v>Generali Central Insurance Company Limited</v>
      </c>
      <c r="C8" s="8" t="str">
        <f>IF(A8="Previous Year","April-25","April-26")</f>
        <v>April-26</v>
      </c>
      <c r="D8" s="5" t="n">
        <v>82.8900000000000006</v>
      </c>
      <c r="E8" s="5" t="n">
        <v>21.8399999999999999</v>
      </c>
      <c r="F8" s="5" t="n">
        <v>174.379999999999995</v>
      </c>
      <c r="G8" s="5" t="n">
        <v>180.800000000000011</v>
      </c>
      <c r="H8" s="5" t="n">
        <v>515.230000000000018</v>
      </c>
    </row>
    <row r="9" spans="1:8">
      <c r="A9" s="5" t="s">
        <v>233</v>
      </c>
      <c r="B9" s="8" t="str">
        <f>IF(A9="Previous Year",B8,A9)</f>
        <v>Generali Central Insurance Company Limited</v>
      </c>
      <c r="C9" s="8" t="str">
        <f>IF(A9="Previous Year","April-25","April-26")</f>
        <v>April-25</v>
      </c>
      <c r="D9" s="5" t="n">
        <v>158.560000000000002</v>
      </c>
      <c r="E9" s="5" t="n">
        <v>20.3099999999999987</v>
      </c>
      <c r="F9" s="5" t="n">
        <v>151.800000000000011</v>
      </c>
      <c r="G9" s="5" t="n">
        <v>263.490000000000009</v>
      </c>
      <c r="H9" s="5" t="n">
        <v>641.049999999999955</v>
      </c>
    </row>
    <row r="10" spans="1:8">
      <c r="A10" s="5" t="s">
        <v>88</v>
      </c>
      <c r="B10" s="8" t="str">
        <f>IF(A10="Previous Year",B9,A10)</f>
        <v>Go Digit General Insurance Ltd</v>
      </c>
      <c r="C10" s="8" t="str">
        <f>IF(A10="Previous Year","April-25","April-26")</f>
        <v>April-26</v>
      </c>
      <c r="D10" s="5" t="n">
        <v>109.470000000000013</v>
      </c>
      <c r="E10" s="5" t="n">
        <v>27.3000000000000007</v>
      </c>
      <c r="F10" s="5" t="n">
        <v>517.309999999999945</v>
      </c>
      <c r="G10" s="5" t="n">
        <v>204.300000000000011</v>
      </c>
      <c r="H10" s="5" t="n">
        <v>967.549999999999955</v>
      </c>
    </row>
    <row r="11" spans="1:8">
      <c r="A11" s="5" t="s">
        <v>233</v>
      </c>
      <c r="B11" s="8" t="str">
        <f>IF(A11="Previous Year",B10,A11)</f>
        <v>Go Digit General Insurance Ltd</v>
      </c>
      <c r="C11" s="8" t="str">
        <f>IF(A11="Previous Year","April-25","April-26")</f>
        <v>April-25</v>
      </c>
      <c r="D11" s="5" t="n">
        <v>213.490000000000009</v>
      </c>
      <c r="E11" s="5" t="n">
        <v>21.9100000000000001</v>
      </c>
      <c r="F11" s="5" t="n">
        <v>496.639999999999986</v>
      </c>
      <c r="G11" s="5" t="n">
        <v>184.75</v>
      </c>
      <c r="H11" s="5" t="n">
        <v>1000.64999999999998</v>
      </c>
    </row>
    <row r="12" spans="1:8">
      <c r="A12" s="5" t="s">
        <v>81</v>
      </c>
      <c r="B12" s="8" t="str">
        <f>IF(A12="Previous Year",B11,A12)</f>
        <v>HDFC Ergo General Insurance Co Ltd</v>
      </c>
      <c r="C12" s="8" t="str">
        <f>IF(A12="Previous Year","April-25","April-26")</f>
        <v>April-26</v>
      </c>
      <c r="D12" s="5" t="n">
        <v>337.139999999999986</v>
      </c>
      <c r="E12" s="5" t="n">
        <v>49.6700000000000017</v>
      </c>
      <c r="F12" s="5" t="n">
        <v>284.939999999999998</v>
      </c>
      <c r="G12" s="5" t="n">
        <v>779.600000000000023</v>
      </c>
      <c r="H12" s="5" t="n">
        <v>1743.27999999999997</v>
      </c>
    </row>
    <row r="13" spans="1:8">
      <c r="A13" s="5" t="s">
        <v>233</v>
      </c>
      <c r="B13" s="8" t="str">
        <f>IF(A13="Previous Year",B12,A13)</f>
        <v>HDFC Ergo General Insurance Co Ltd</v>
      </c>
      <c r="C13" s="8" t="str">
        <f>IF(A13="Previous Year","April-25","April-26")</f>
        <v>April-25</v>
      </c>
      <c r="D13" s="5" t="n">
        <v>524.919999999999959</v>
      </c>
      <c r="E13" s="5" t="n">
        <v>33.25</v>
      </c>
      <c r="F13" s="5" t="n">
        <v>193.080000000000013</v>
      </c>
      <c r="G13" s="5" t="n">
        <v>612.100000000000023</v>
      </c>
      <c r="H13" s="5" t="n">
        <v>1619.92000000000007</v>
      </c>
    </row>
    <row r="14" spans="1:8">
      <c r="A14" s="5" t="s">
        <v>76</v>
      </c>
      <c r="B14" s="8" t="str">
        <f>IF(A14="Previous Year",B13,A14)</f>
        <v>ICICI Lombard General Insurance Co Ltd</v>
      </c>
      <c r="C14" s="8" t="str">
        <f>IF(A14="Previous Year","April-25","April-26")</f>
        <v>April-26</v>
      </c>
      <c r="D14" s="5" t="n">
        <v>561.710000000000036</v>
      </c>
      <c r="E14" s="5" t="n">
        <v>203.949999999999989</v>
      </c>
      <c r="F14" s="5" t="n">
        <v>954.110000000000014</v>
      </c>
      <c r="G14" s="5" t="n">
        <v>1463.07999999999993</v>
      </c>
      <c r="H14" s="5" t="n">
        <v>3654</v>
      </c>
    </row>
    <row r="15" spans="1:8">
      <c r="A15" s="5" t="s">
        <v>233</v>
      </c>
      <c r="B15" s="8" t="str">
        <f>IF(A15="Previous Year",B14,A15)</f>
        <v>ICICI Lombard General Insurance Co Ltd</v>
      </c>
      <c r="C15" s="8" t="str">
        <f>IF(A15="Previous Year","April-25","April-26")</f>
        <v>April-25</v>
      </c>
      <c r="D15" s="5" t="n">
        <v>928.010000000000105</v>
      </c>
      <c r="E15" s="5" t="n">
        <v>176.409999999999997</v>
      </c>
      <c r="F15" s="5" t="n">
        <v>845.990000000000009</v>
      </c>
      <c r="G15" s="5" t="n">
        <v>1179.07999999999993</v>
      </c>
      <c r="H15" s="5" t="n">
        <v>3592.2199999999998</v>
      </c>
    </row>
    <row r="16" spans="1:8">
      <c r="A16" s="5" t="s">
        <v>89</v>
      </c>
      <c r="B16" s="8" t="str">
        <f>IF(A16="Previous Year",B15,A16)</f>
        <v>IFFCO-Tokio General Insurance Co Ltd</v>
      </c>
      <c r="C16" s="8" t="str">
        <f>IF(A16="Previous Year","April-25","April-26")</f>
        <v>April-26</v>
      </c>
      <c r="D16" s="5" t="n">
        <v>174.439999999999998</v>
      </c>
      <c r="E16" s="5" t="n">
        <v>53.0399999999999991</v>
      </c>
      <c r="F16" s="5" t="n">
        <v>422.769999999999982</v>
      </c>
      <c r="G16" s="5" t="n">
        <v>98.4300000000000068</v>
      </c>
      <c r="H16" s="5" t="n">
        <v>876.75</v>
      </c>
    </row>
    <row r="17" spans="1:8">
      <c r="A17" s="5" t="s">
        <v>233</v>
      </c>
      <c r="B17" s="8" t="str">
        <f>IF(A17="Previous Year",B16,A17)</f>
        <v>IFFCO-Tokio General Insurance Co Ltd</v>
      </c>
      <c r="C17" s="8" t="str">
        <f>IF(A17="Previous Year","April-25","April-26")</f>
        <v>April-25</v>
      </c>
      <c r="D17" s="5" t="n">
        <v>227.870000000000005</v>
      </c>
      <c r="E17" s="5" t="n">
        <v>42.2800000000000011</v>
      </c>
      <c r="F17" s="5" t="n">
        <v>321.810000000000002</v>
      </c>
      <c r="G17" s="5" t="n">
        <v>65.019999999999996</v>
      </c>
      <c r="H17" s="5" t="n">
        <v>783.529999999999859</v>
      </c>
    </row>
    <row r="18" spans="1:8">
      <c r="A18" s="5" t="s">
        <v>83</v>
      </c>
      <c r="B18" s="8" t="str">
        <f>IF(A18="Previous Year",B17,A18)</f>
        <v>IndusInd General Insurance Company Limited</v>
      </c>
      <c r="C18" s="8" t="str">
        <f>IF(A18="Previous Year","April-25","April-26")</f>
        <v>April-26</v>
      </c>
      <c r="D18" s="5" t="n">
        <v>332.04000000000002</v>
      </c>
      <c r="E18" s="5" t="n">
        <v>46.0399999999999991</v>
      </c>
      <c r="F18" s="5" t="n">
        <v>316.120000000000005</v>
      </c>
      <c r="G18" s="5" t="n">
        <v>723.779999999999859</v>
      </c>
      <c r="H18" s="5" t="n">
        <v>1563.91000000000008</v>
      </c>
    </row>
    <row r="19" spans="1:8">
      <c r="A19" s="5" t="s">
        <v>233</v>
      </c>
      <c r="B19" s="8" t="str">
        <f>IF(A19="Previous Year",B18,A19)</f>
        <v>IndusInd General Insurance Company Limited</v>
      </c>
      <c r="C19" s="8" t="str">
        <f>IF(A19="Previous Year","April-25","April-26")</f>
        <v>April-25</v>
      </c>
      <c r="D19" s="5" t="n">
        <v>537.830000000000041</v>
      </c>
      <c r="E19" s="5" t="n">
        <v>35.1099999999999994</v>
      </c>
      <c r="F19" s="5" t="n">
        <v>313.399999999999977</v>
      </c>
      <c r="G19" s="5" t="n">
        <v>391.600000000000023</v>
      </c>
      <c r="H19" s="5" t="n">
        <v>1479.25999999999999</v>
      </c>
    </row>
    <row r="20" spans="1:8">
      <c r="A20" s="5" t="s">
        <v>120</v>
      </c>
      <c r="B20" s="8" t="str">
        <f>IF(A20="Previous Year",B19,A20)</f>
        <v>Kshema General insurance</v>
      </c>
      <c r="C20" s="8" t="str">
        <f>IF(A20="Previous Year","April-25","April-26")</f>
        <v>April-26</v>
      </c>
      <c r="D20" s="6" t="n">
        <v>0</v>
      </c>
      <c r="E20" s="6" t="n">
        <v>0</v>
      </c>
      <c r="F20" s="5" t="n">
        <v>2.99000000000000021</v>
      </c>
      <c r="G20" s="5" t="n">
        <v>0.01</v>
      </c>
      <c r="H20" s="5" t="n">
        <v>6</v>
      </c>
    </row>
    <row r="21" spans="1:8">
      <c r="A21" s="5" t="s">
        <v>233</v>
      </c>
      <c r="B21" s="8" t="str">
        <f>IF(A21="Previous Year",B20,A21)</f>
        <v>Kshema General insurance</v>
      </c>
      <c r="C21" s="8" t="str">
        <f>IF(A21="Previous Year","April-25","April-26")</f>
        <v>April-25</v>
      </c>
      <c r="D21" s="6" t="n">
        <v>0</v>
      </c>
      <c r="E21" s="6" t="n">
        <v>0</v>
      </c>
      <c r="F21" s="6" t="n">
        <v>0</v>
      </c>
      <c r="G21" s="6" t="n">
        <v>0</v>
      </c>
      <c r="H21" s="5" t="n">
        <v>306.480000000000018</v>
      </c>
    </row>
    <row r="22" spans="1:8">
      <c r="A22" s="5" t="s">
        <v>102</v>
      </c>
      <c r="B22" s="8" t="str">
        <f>IF(A22="Previous Year",B21,A22)</f>
        <v>Liberty  General Insurance Co. Ltd</v>
      </c>
      <c r="C22" s="8" t="str">
        <f>IF(A22="Previous Year","April-25","April-26")</f>
        <v>April-26</v>
      </c>
      <c r="D22" s="5" t="n">
        <v>14.6699999999999999</v>
      </c>
      <c r="E22" s="5" t="n">
        <v>3.12999999999999989</v>
      </c>
      <c r="F22" s="5" t="n">
        <v>185.319999999999993</v>
      </c>
      <c r="G22" s="5" t="n">
        <v>79.7399999999999807</v>
      </c>
      <c r="H22" s="5" t="n">
        <v>310.860000000000014</v>
      </c>
    </row>
    <row r="23" spans="1:8">
      <c r="A23" s="5" t="s">
        <v>233</v>
      </c>
      <c r="B23" s="8" t="str">
        <f>IF(A23="Previous Year",B22,A23)</f>
        <v>Liberty  General Insurance Co. Ltd</v>
      </c>
      <c r="C23" s="8" t="str">
        <f>IF(A23="Previous Year","April-25","April-26")</f>
        <v>April-25</v>
      </c>
      <c r="D23" s="5" t="n">
        <v>12.6500000000000004</v>
      </c>
      <c r="E23" s="5" t="n">
        <v>3.83000000000000007</v>
      </c>
      <c r="F23" s="5" t="n">
        <v>127.480000000000004</v>
      </c>
      <c r="G23" s="5" t="n">
        <v>74.6899999999999835</v>
      </c>
      <c r="H23" s="5" t="n">
        <v>241.139999999999986</v>
      </c>
    </row>
    <row r="24" spans="1:8">
      <c r="A24" s="5" t="s">
        <v>98</v>
      </c>
      <c r="B24" s="8" t="str">
        <f>IF(A24="Previous Year",B23,A24)</f>
        <v>Magma General Insurance Limited</v>
      </c>
      <c r="C24" s="8" t="str">
        <f>IF(A24="Previous Year","April-25","April-26")</f>
        <v>April-26</v>
      </c>
      <c r="D24" s="5" t="n">
        <v>43.259999999999998</v>
      </c>
      <c r="E24" s="5" t="n">
        <v>5.26999999999999957</v>
      </c>
      <c r="F24" s="5" t="n">
        <v>145.580000000000013</v>
      </c>
      <c r="G24" s="5" t="n">
        <v>157.5</v>
      </c>
      <c r="H24" s="5" t="n">
        <v>376.899999999999977</v>
      </c>
    </row>
    <row r="25" spans="1:8">
      <c r="A25" s="5" t="s">
        <v>233</v>
      </c>
      <c r="B25" s="8" t="str">
        <f>IF(A25="Previous Year",B24,A25)</f>
        <v>Magma General Insurance Limited</v>
      </c>
      <c r="C25" s="8" t="str">
        <f>IF(A25="Previous Year","April-25","April-26")</f>
        <v>April-25</v>
      </c>
      <c r="D25" s="5" t="n">
        <v>63.3999999999999986</v>
      </c>
      <c r="E25" s="5" t="n">
        <v>3.58000000000000007</v>
      </c>
      <c r="F25" s="5" t="n">
        <v>166.889999999999958</v>
      </c>
      <c r="G25" s="5" t="n">
        <v>118.170000000000002</v>
      </c>
      <c r="H25" s="5" t="n">
        <v>380.050000000000011</v>
      </c>
    </row>
    <row r="26" spans="1:8">
      <c r="A26" s="5" t="s">
        <v>82</v>
      </c>
      <c r="B26" s="8" t="str">
        <f>IF(A26="Previous Year",B25,A26)</f>
        <v>National Insurance Co Ltd</v>
      </c>
      <c r="C26" s="8" t="str">
        <f>IF(A26="Previous Year","April-25","April-26")</f>
        <v>April-26</v>
      </c>
      <c r="D26" s="5" t="n">
        <v>263.95999999999998</v>
      </c>
      <c r="E26" s="5" t="n">
        <v>35.1300000000000026</v>
      </c>
      <c r="F26" s="5" t="n">
        <v>480.600000000000023</v>
      </c>
      <c r="G26" s="5" t="n">
        <v>636.82000000000005</v>
      </c>
      <c r="H26" s="5" t="n">
        <v>1605.18000000000006</v>
      </c>
    </row>
    <row r="27" spans="1:8">
      <c r="A27" s="5" t="s">
        <v>233</v>
      </c>
      <c r="B27" s="8" t="str">
        <f>IF(A27="Previous Year",B26,A27)</f>
        <v>National Insurance Co Ltd</v>
      </c>
      <c r="C27" s="8" t="str">
        <f>IF(A27="Previous Year","April-25","April-26")</f>
        <v>April-25</v>
      </c>
      <c r="D27" s="5" t="n">
        <v>287.129999999999995</v>
      </c>
      <c r="E27" s="5" t="n">
        <v>19.1099999999999994</v>
      </c>
      <c r="F27" s="5" t="n">
        <v>435.319999999999993</v>
      </c>
      <c r="G27" s="5" t="n">
        <v>620.580000000000041</v>
      </c>
      <c r="H27" s="5" t="n">
        <v>1528.72000000000003</v>
      </c>
    </row>
    <row r="28" spans="1:8">
      <c r="A28" s="5" t="s">
        <v>117</v>
      </c>
      <c r="B28" s="8" t="str">
        <f>IF(A28="Previous Year",B27,A28)</f>
        <v>Navi General Insurance Co. Ltd</v>
      </c>
      <c r="C28" s="8" t="str">
        <f>IF(A28="Previous Year","April-25","April-26")</f>
        <v>April-26</v>
      </c>
      <c r="D28" s="5" t="n">
        <v>-0.05</v>
      </c>
      <c r="E28" s="6" t="n">
        <v>0</v>
      </c>
      <c r="F28" s="5" t="n">
        <v>2.24000000000000021</v>
      </c>
      <c r="G28" s="5" t="n">
        <v>13.4900000000000002</v>
      </c>
      <c r="H28" s="5" t="n">
        <v>15.4700000000000006</v>
      </c>
    </row>
    <row r="29" spans="1:8">
      <c r="A29" s="5" t="s">
        <v>233</v>
      </c>
      <c r="B29" s="8" t="str">
        <f>IF(A29="Previous Year",B28,A29)</f>
        <v>Navi General Insurance Co. Ltd</v>
      </c>
      <c r="C29" s="8" t="str">
        <f>IF(A29="Previous Year","April-25","April-26")</f>
        <v>April-25</v>
      </c>
      <c r="D29" s="5" t="n">
        <v>-0.04</v>
      </c>
      <c r="E29" s="6" t="n">
        <v>0</v>
      </c>
      <c r="F29" s="5" t="n">
        <v>0.110000000000000009</v>
      </c>
      <c r="G29" s="5" t="n">
        <v>22.5899999999999999</v>
      </c>
      <c r="H29" s="5" t="n">
        <v>22.6900000000000013</v>
      </c>
    </row>
    <row r="30" spans="1:8">
      <c r="A30" s="5" t="s">
        <v>119</v>
      </c>
      <c r="B30" s="8" t="str">
        <f>IF(A30="Previous Year",B29,A30)</f>
        <v>Raheja QBE General Insurance Co Ltd</v>
      </c>
      <c r="C30" s="8" t="str">
        <f>IF(A30="Previous Year","April-25","April-26")</f>
        <v>April-26</v>
      </c>
      <c r="D30" s="5" t="n">
        <v>0.330000000000000027</v>
      </c>
      <c r="E30" s="6" t="n">
        <v>0</v>
      </c>
      <c r="F30" s="5" t="n">
        <v>6.75999999999999979</v>
      </c>
      <c r="G30" s="5" t="n">
        <v>0.4</v>
      </c>
      <c r="H30" s="5" t="n">
        <v>12.9700000000000006</v>
      </c>
    </row>
    <row r="31" spans="1:8">
      <c r="A31" s="5" t="s">
        <v>233</v>
      </c>
      <c r="B31" s="8" t="str">
        <f>IF(A31="Previous Year",B30,A31)</f>
        <v>Raheja QBE General Insurance Co Ltd</v>
      </c>
      <c r="C31" s="8" t="str">
        <f>IF(A31="Previous Year","April-25","April-26")</f>
        <v>April-25</v>
      </c>
      <c r="D31" s="5" t="n">
        <v>1.17999999999999994</v>
      </c>
      <c r="E31" s="5" t="n">
        <v>-0.09</v>
      </c>
      <c r="F31" s="5" t="n">
        <v>3.24000000000000021</v>
      </c>
      <c r="G31" s="5" t="n">
        <v>0.320000000000000018</v>
      </c>
      <c r="H31" s="5" t="n">
        <v>16.370000000000001</v>
      </c>
    </row>
    <row r="32" spans="1:8">
      <c r="A32" s="5" t="s">
        <v>95</v>
      </c>
      <c r="B32" s="8" t="str">
        <f>IF(A32="Previous Year",B31,A32)</f>
        <v>Royal Sundaram General Insurance Co Ltd</v>
      </c>
      <c r="C32" s="8" t="str">
        <f>IF(A32="Previous Year","April-25","April-26")</f>
        <v>April-26</v>
      </c>
      <c r="D32" s="5" t="n">
        <v>66.3199999999999932</v>
      </c>
      <c r="E32" s="5" t="n">
        <v>13.3300000000000001</v>
      </c>
      <c r="F32" s="5" t="n">
        <v>216.060000000000002</v>
      </c>
      <c r="G32" s="5" t="n">
        <v>257.850000000000023</v>
      </c>
      <c r="H32" s="5" t="n">
        <v>576.480000000000018</v>
      </c>
    </row>
    <row r="33" spans="1:8">
      <c r="A33" s="5" t="s">
        <v>233</v>
      </c>
      <c r="B33" s="8" t="str">
        <f>IF(A33="Previous Year",B32,A33)</f>
        <v>Royal Sundaram General Insurance Co Ltd</v>
      </c>
      <c r="C33" s="8" t="str">
        <f>IF(A33="Previous Year","April-25","April-26")</f>
        <v>April-25</v>
      </c>
      <c r="D33" s="5" t="n">
        <v>90.7999999999999972</v>
      </c>
      <c r="E33" s="5" t="n">
        <v>10.2599999999999998</v>
      </c>
      <c r="F33" s="5" t="n">
        <v>178.800000000000011</v>
      </c>
      <c r="G33" s="5" t="n">
        <v>221.409999999999997</v>
      </c>
      <c r="H33" s="5" t="n">
        <v>520.279999999999973</v>
      </c>
    </row>
    <row r="34" spans="1:8">
      <c r="A34" s="5" t="s">
        <v>84</v>
      </c>
      <c r="B34" s="8" t="str">
        <f>IF(A34="Previous Year",B33,A34)</f>
        <v>SBI General Insurance Co Ltd</v>
      </c>
      <c r="C34" s="8" t="str">
        <f>IF(A34="Previous Year","April-25","April-26")</f>
        <v>April-26</v>
      </c>
      <c r="D34" s="5" t="n">
        <v>180.849999999999994</v>
      </c>
      <c r="E34" s="5" t="n">
        <v>24.8500000000000014</v>
      </c>
      <c r="F34" s="5" t="n">
        <v>397.509999999999991</v>
      </c>
      <c r="G34" s="5" t="n">
        <v>512.129999999999995</v>
      </c>
      <c r="H34" s="5" t="n">
        <v>1299.52999999999997</v>
      </c>
    </row>
    <row r="35" spans="1:8">
      <c r="A35" s="5" t="s">
        <v>233</v>
      </c>
      <c r="B35" s="8" t="str">
        <f>IF(A35="Previous Year",B34,A35)</f>
        <v>SBI General Insurance Co Ltd</v>
      </c>
      <c r="C35" s="8" t="str">
        <f>IF(A35="Previous Year","April-25","April-26")</f>
        <v>April-25</v>
      </c>
      <c r="D35" s="5" t="n">
        <v>320.759999999999991</v>
      </c>
      <c r="E35" s="5" t="n">
        <v>18.620000000000001</v>
      </c>
      <c r="F35" s="5" t="n">
        <v>387.740000000000009</v>
      </c>
      <c r="G35" s="5" t="n">
        <v>444.949999999999989</v>
      </c>
      <c r="H35" s="5" t="n">
        <v>1290.54999999999995</v>
      </c>
    </row>
    <row r="36" spans="1:8">
      <c r="A36" s="5" t="s">
        <v>100</v>
      </c>
      <c r="B36" s="8" t="str">
        <f>IF(A36="Previous Year",B35,A36)</f>
        <v>Shriram General Insurance Co Ltd</v>
      </c>
      <c r="C36" s="8" t="str">
        <f>IF(A36="Previous Year","April-25","April-26")</f>
        <v>April-26</v>
      </c>
      <c r="D36" s="5" t="n">
        <v>6.88999999999999968</v>
      </c>
      <c r="E36" s="5" t="n">
        <v>0.729999999999999982</v>
      </c>
      <c r="F36" s="5" t="n">
        <v>325.139999999999986</v>
      </c>
      <c r="G36" s="5" t="n">
        <v>4.42999999999999972</v>
      </c>
      <c r="H36" s="5" t="n">
        <v>361.54000000000002</v>
      </c>
    </row>
    <row r="37" spans="1:8">
      <c r="A37" s="5" t="s">
        <v>233</v>
      </c>
      <c r="B37" s="8" t="str">
        <f>IF(A37="Previous Year",B36,A37)</f>
        <v>Shriram General Insurance Co Ltd</v>
      </c>
      <c r="C37" s="8" t="str">
        <f>IF(A37="Previous Year","April-25","April-26")</f>
        <v>April-25</v>
      </c>
      <c r="D37" s="5" t="n">
        <v>13.9000000000000004</v>
      </c>
      <c r="E37" s="5" t="n">
        <v>0.29</v>
      </c>
      <c r="F37" s="5" t="n">
        <v>258.620000000000005</v>
      </c>
      <c r="G37" s="5" t="n">
        <v>0.540000000000000036</v>
      </c>
      <c r="H37" s="5" t="n">
        <v>290.389999999999986</v>
      </c>
    </row>
    <row r="38" spans="1:8">
      <c r="A38" s="5" t="s">
        <v>77</v>
      </c>
      <c r="B38" s="8" t="str">
        <f>IF(A38="Previous Year",B37,A38)</f>
        <v>Tata AIG General Insurance Co Ltd</v>
      </c>
      <c r="C38" s="8" t="str">
        <f>IF(A38="Previous Year","April-25","April-26")</f>
        <v>April-26</v>
      </c>
      <c r="D38" s="5" t="n">
        <v>414</v>
      </c>
      <c r="E38" s="5" t="n">
        <v>134.840000000000003</v>
      </c>
      <c r="F38" s="5" t="n">
        <v>873.330000000000041</v>
      </c>
      <c r="G38" s="5" t="n">
        <v>988.610000000000014</v>
      </c>
      <c r="H38" s="5" t="n">
        <v>2845.40999999999985</v>
      </c>
    </row>
    <row r="39" spans="1:8">
      <c r="A39" s="5" t="s">
        <v>233</v>
      </c>
      <c r="B39" s="8" t="str">
        <f>IF(A39="Previous Year",B38,A39)</f>
        <v>Tata AIG General Insurance Co Ltd</v>
      </c>
      <c r="C39" s="8" t="str">
        <f>IF(A39="Previous Year","April-25","April-26")</f>
        <v>April-25</v>
      </c>
      <c r="D39" s="5" t="n">
        <v>444.170000000000016</v>
      </c>
      <c r="E39" s="5" t="n">
        <v>120.090000000000003</v>
      </c>
      <c r="F39" s="5" t="n">
        <v>685.299999999999955</v>
      </c>
      <c r="G39" s="5" t="n">
        <v>418</v>
      </c>
      <c r="H39" s="5" t="n">
        <v>2060.38000000000011</v>
      </c>
    </row>
    <row r="40" spans="1:8">
      <c r="A40" s="5" t="s">
        <v>71</v>
      </c>
      <c r="B40" s="8" t="str">
        <f>IF(A40="Previous Year",B39,A40)</f>
        <v>The New India Assurance Co Ltd</v>
      </c>
      <c r="C40" s="8" t="str">
        <f>IF(A40="Previous Year","April-25","April-26")</f>
        <v>April-26</v>
      </c>
      <c r="D40" s="5" t="n">
        <v>777.149999999999864</v>
      </c>
      <c r="E40" s="5" t="n">
        <v>195.050000000000011</v>
      </c>
      <c r="F40" s="5" t="n">
        <v>957.279999999999973</v>
      </c>
      <c r="G40" s="5" t="n">
        <v>3605.88000000000011</v>
      </c>
      <c r="H40" s="5" t="n">
        <v>6084.97999999999956</v>
      </c>
    </row>
    <row r="41" spans="1:8">
      <c r="A41" s="5" t="s">
        <v>233</v>
      </c>
      <c r="B41" s="8" t="str">
        <f>IF(A41="Previous Year",B40,A41)</f>
        <v>The New India Assurance Co Ltd</v>
      </c>
      <c r="C41" s="8" t="str">
        <f>IF(A41="Previous Year","April-25","April-26")</f>
        <v>April-25</v>
      </c>
      <c r="D41" s="5" t="n">
        <v>1058.45000000000005</v>
      </c>
      <c r="E41" s="5" t="n">
        <v>146.400000000000006</v>
      </c>
      <c r="F41" s="5" t="n">
        <v>827.82000000000005</v>
      </c>
      <c r="G41" s="5" t="n">
        <v>3411.69999999999982</v>
      </c>
      <c r="H41" s="5" t="n">
        <v>6026.61999999999989</v>
      </c>
    </row>
    <row r="42" spans="1:8">
      <c r="A42" s="5" t="s">
        <v>78</v>
      </c>
      <c r="B42" s="8" t="str">
        <f>IF(A42="Previous Year",B41,A42)</f>
        <v>The Oriental Insurance Co Ltd</v>
      </c>
      <c r="C42" s="8" t="str">
        <f>IF(A42="Previous Year","April-25","April-26")</f>
        <v>April-26</v>
      </c>
      <c r="D42" s="5" t="n">
        <v>206.949999999999989</v>
      </c>
      <c r="E42" s="5" t="n">
        <v>90.7800000000000011</v>
      </c>
      <c r="F42" s="5" t="n">
        <v>320.300000000000011</v>
      </c>
      <c r="G42" s="5" t="n">
        <v>953.700000000000045</v>
      </c>
      <c r="H42" s="5" t="n">
        <v>2670.23999999999978</v>
      </c>
    </row>
    <row r="43" spans="1:8">
      <c r="A43" s="5" t="s">
        <v>233</v>
      </c>
      <c r="B43" s="8" t="str">
        <f>IF(A43="Previous Year",B42,A43)</f>
        <v>The Oriental Insurance Co Ltd</v>
      </c>
      <c r="C43" s="8" t="str">
        <f>IF(A43="Previous Year","April-25","April-26")</f>
        <v>April-25</v>
      </c>
      <c r="D43" s="5" t="n">
        <v>339.939999999999998</v>
      </c>
      <c r="E43" s="5" t="n">
        <v>68.230000000000004</v>
      </c>
      <c r="F43" s="5" t="n">
        <v>381.649999999999977</v>
      </c>
      <c r="G43" s="5" t="n">
        <v>1020.35000000000002</v>
      </c>
      <c r="H43" s="5" t="n">
        <v>2629.90000000000009</v>
      </c>
    </row>
    <row r="44" spans="1:8">
      <c r="A44" s="5" t="s">
        <v>80</v>
      </c>
      <c r="B44" s="8" t="str">
        <f>IF(A44="Previous Year",B43,A44)</f>
        <v>United India Insurance Co Ltd</v>
      </c>
      <c r="C44" s="8" t="str">
        <f>IF(A44="Previous Year","April-25","April-26")</f>
        <v>April-26</v>
      </c>
      <c r="D44" s="5" t="n">
        <v>176.909999999999997</v>
      </c>
      <c r="E44" s="5" t="n">
        <v>40.6899999999999977</v>
      </c>
      <c r="F44" s="5" t="n">
        <v>778.110000000000014</v>
      </c>
      <c r="G44" s="5" t="n">
        <v>935.690000000000055</v>
      </c>
      <c r="H44" s="5" t="n">
        <v>2117.23999999999978</v>
      </c>
    </row>
    <row r="45" spans="1:8">
      <c r="A45" s="5" t="s">
        <v>233</v>
      </c>
      <c r="B45" s="8" t="str">
        <f>IF(A45="Previous Year",B44,A45)</f>
        <v>United India Insurance Co Ltd</v>
      </c>
      <c r="C45" s="8" t="str">
        <f>IF(A45="Previous Year","April-25","April-26")</f>
        <v>April-25</v>
      </c>
      <c r="D45" s="5" t="n">
        <v>253.439999999999998</v>
      </c>
      <c r="E45" s="5" t="n">
        <v>35.3599999999999994</v>
      </c>
      <c r="F45" s="5" t="n">
        <v>772.759999999999991</v>
      </c>
      <c r="G45" s="5" t="n">
        <v>837.940000000000055</v>
      </c>
      <c r="H45" s="5" t="n">
        <v>2093.11000000000013</v>
      </c>
    </row>
    <row r="46" spans="1:8">
      <c r="A46" s="5" t="s">
        <v>92</v>
      </c>
      <c r="B46" s="8" t="str">
        <f>IF(A46="Previous Year",B45,A46)</f>
        <v>Universal Sompo General Insurance Co Ltd</v>
      </c>
      <c r="C46" s="8" t="str">
        <f>IF(A46="Previous Year","April-25","April-26")</f>
        <v>April-26</v>
      </c>
      <c r="D46" s="5" t="n">
        <v>43.0399999999999991</v>
      </c>
      <c r="E46" s="5" t="n">
        <v>14.7899999999999991</v>
      </c>
      <c r="F46" s="5" t="n">
        <v>434.100000000000023</v>
      </c>
      <c r="G46" s="5" t="n">
        <v>154.280000000000001</v>
      </c>
      <c r="H46" s="5" t="n">
        <v>695.549999999999955</v>
      </c>
    </row>
    <row r="47" spans="1:8">
      <c r="A47" s="5" t="s">
        <v>233</v>
      </c>
      <c r="B47" s="8" t="str">
        <f>IF(A47="Previous Year",B46,A47)</f>
        <v>Universal Sompo General Insurance Co Ltd</v>
      </c>
      <c r="C47" s="8" t="str">
        <f>IF(A47="Previous Year","April-25","April-26")</f>
        <v>April-25</v>
      </c>
      <c r="D47" s="5" t="n">
        <v>113.110000000000014</v>
      </c>
      <c r="E47" s="5" t="n">
        <v>9.59999999999999964</v>
      </c>
      <c r="F47" s="5" t="n">
        <v>168.430000000000007</v>
      </c>
      <c r="G47" s="5" t="n">
        <v>137.629999999999995</v>
      </c>
      <c r="H47" s="5" t="n">
        <v>472.829999999999984</v>
      </c>
    </row>
    <row r="48" spans="1:8">
      <c r="A48" s="5" t="s">
        <v>110</v>
      </c>
      <c r="B48" s="8" t="str">
        <f>IF(A48="Previous Year",B47,A48)</f>
        <v>Zuno General Insurance Co Ltd</v>
      </c>
      <c r="C48" s="8" t="str">
        <f>IF(A48="Previous Year","April-25","April-26")</f>
        <v>April-26</v>
      </c>
      <c r="D48" s="5" t="n">
        <v>10.8000000000000007</v>
      </c>
      <c r="E48" s="5" t="n">
        <v>0.1</v>
      </c>
      <c r="F48" s="5" t="n">
        <v>64.8299999999999983</v>
      </c>
      <c r="G48" s="5" t="n">
        <v>39.3400000000000034</v>
      </c>
      <c r="H48" s="5" t="n">
        <v>141.77000000000001</v>
      </c>
    </row>
    <row r="49" spans="1:8">
      <c r="A49" s="5" t="s">
        <v>233</v>
      </c>
      <c r="B49" s="8" t="str">
        <f>IF(A49="Previous Year",B48,A49)</f>
        <v>Zuno General Insurance Co Ltd</v>
      </c>
      <c r="C49" s="8" t="str">
        <f>IF(A49="Previous Year","April-25","April-26")</f>
        <v>April-25</v>
      </c>
      <c r="D49" s="5" t="n">
        <v>13.8300000000000001</v>
      </c>
      <c r="E49" s="5" t="n">
        <v>0</v>
      </c>
      <c r="F49" s="5" t="n">
        <v>42.0700000000000003</v>
      </c>
      <c r="G49" s="5" t="n">
        <v>26.1799999999999997</v>
      </c>
      <c r="H49" s="5" t="n">
        <v>86.0799999999999983</v>
      </c>
    </row>
    <row r="50" spans="1:8">
      <c r="A50" s="5" t="s">
        <v>108</v>
      </c>
      <c r="B50" s="8" t="str">
        <f>IF(A50="Previous Year",B49,A50)</f>
        <v>Zurich Kotak Mahindra General Insurance Co Ltd</v>
      </c>
      <c r="C50" s="8" t="str">
        <f>IF(A50="Previous Year","April-25","April-26")</f>
        <v>April-26</v>
      </c>
      <c r="D50" s="5" t="n">
        <v>18.1999999999999993</v>
      </c>
      <c r="E50" s="5" t="n">
        <v>17.3900000000000006</v>
      </c>
      <c r="F50" s="5" t="n">
        <v>79.480000000000004</v>
      </c>
      <c r="G50" s="5" t="n">
        <v>73.8299999999999983</v>
      </c>
      <c r="H50" s="5" t="n">
        <v>210.879999999999995</v>
      </c>
    </row>
    <row r="51" spans="1:8">
      <c r="A51" s="5" t="s">
        <v>233</v>
      </c>
      <c r="B51" s="8" t="str">
        <f>IF(A51="Previous Year",B50,A51)</f>
        <v>Zurich Kotak Mahindra General Insurance Co Ltd</v>
      </c>
      <c r="C51" s="8" t="str">
        <f>IF(A51="Previous Year","April-25","April-26")</f>
        <v>April-25</v>
      </c>
      <c r="D51" s="5" t="n">
        <v>7.01999999999999957</v>
      </c>
      <c r="E51" s="5" t="n">
        <v>2.16000000000000014</v>
      </c>
      <c r="F51" s="5" t="n">
        <v>82.0999999999999801</v>
      </c>
      <c r="G51" s="5" t="n">
        <v>130.800000000000011</v>
      </c>
      <c r="H51" s="5" t="n">
        <v>233.659999999999997</v>
      </c>
    </row>
    <row r="52" spans="1:8">
      <c r="A52" s="5" t="s">
        <v>93</v>
      </c>
      <c r="B52" s="8" t="str">
        <f>IF(A52="Previous Year",#REF!,A52)</f>
        <v>Niva bupa health insurance company limited</v>
      </c>
      <c r="C52" s="8" t="str">
        <f>IF(A52="Previous Year","April-25","April-26")</f>
        <v>April-26</v>
      </c>
      <c r="D52" s="6" t="n">
        <v>0</v>
      </c>
      <c r="E52" s="6" t="n">
        <v>0</v>
      </c>
      <c r="F52" s="6" t="n">
        <v>0</v>
      </c>
      <c r="G52" s="5" t="n">
        <v>620.450000000000045</v>
      </c>
      <c r="H52" s="5" t="n">
        <v>629.259999999999991</v>
      </c>
    </row>
    <row r="53" spans="1:8">
      <c r="A53" s="5" t="s">
        <v>233</v>
      </c>
      <c r="B53" s="8" t="str">
        <f>IF(A53="Previous Year",B52,A53)</f>
        <v>Niva bupa health insurance company limited</v>
      </c>
      <c r="C53" s="8" t="str">
        <f>IF(A53="Previous Year","April-25","April-26")</f>
        <v>April-25</v>
      </c>
      <c r="D53" s="6" t="n">
        <v>0</v>
      </c>
      <c r="E53" s="6" t="n">
        <v>0</v>
      </c>
      <c r="F53" s="6" t="n">
        <v>0</v>
      </c>
      <c r="G53" s="5" t="n">
        <v>475.509999999999991</v>
      </c>
      <c r="H53" s="5" t="n">
        <v>483.069999999999993</v>
      </c>
    </row>
    <row r="54" spans="1:8">
      <c r="A54" s="5" t="s">
        <v>91</v>
      </c>
      <c r="B54" s="8" t="str">
        <f>IF(A54="Previous Year",B53,A54)</f>
        <v>Aditya Birla Health Insurance Co Ltd</v>
      </c>
      <c r="C54" s="8" t="str">
        <f>IF(A54="Previous Year","April-25","April-26")</f>
        <v>April-26</v>
      </c>
      <c r="D54" s="6" t="n">
        <v>0</v>
      </c>
      <c r="E54" s="6" t="n">
        <v>0</v>
      </c>
      <c r="F54" s="6" t="n">
        <v>0</v>
      </c>
      <c r="G54" s="5" t="n">
        <v>661.669999999999959</v>
      </c>
      <c r="H54" s="5" t="n">
        <v>731.980000000000018</v>
      </c>
    </row>
    <row r="55" spans="1:8">
      <c r="A55" s="5" t="s">
        <v>233</v>
      </c>
      <c r="B55" s="8" t="str">
        <f>IF(A55="Previous Year",B54,A55)</f>
        <v>Aditya Birla Health Insurance Co Ltd</v>
      </c>
      <c r="C55" s="8" t="str">
        <f>IF(A55="Previous Year","April-25","April-26")</f>
        <v>April-25</v>
      </c>
      <c r="D55" s="6" t="n">
        <v>0</v>
      </c>
      <c r="E55" s="6" t="n">
        <v>0</v>
      </c>
      <c r="F55" s="6" t="n">
        <v>0</v>
      </c>
      <c r="G55" s="5" t="n">
        <v>430.129999999999995</v>
      </c>
      <c r="H55" s="5" t="n">
        <v>438.370000000000005</v>
      </c>
    </row>
    <row r="56" spans="1:8">
      <c r="A56" s="5" t="s">
        <v>86</v>
      </c>
      <c r="B56" s="8" t="str">
        <f>IF(A56="Previous Year",B55,A56)</f>
        <v>Care Health Insurance Ltd</v>
      </c>
      <c r="C56" s="8" t="str">
        <f>IF(A56="Previous Year","April-25","April-26")</f>
        <v>April-26</v>
      </c>
      <c r="D56" s="6" t="n">
        <v>0</v>
      </c>
      <c r="E56" s="6" t="n">
        <v>0</v>
      </c>
      <c r="F56" s="6" t="n">
        <v>0</v>
      </c>
      <c r="G56" s="5" t="n">
        <v>986.510000000000105</v>
      </c>
      <c r="H56" s="5" t="n">
        <v>1008.77999999999997</v>
      </c>
    </row>
    <row r="57" spans="1:8">
      <c r="A57" s="5" t="s">
        <v>233</v>
      </c>
      <c r="B57" s="8" t="str">
        <f>IF(A57="Previous Year",B56,A57)</f>
        <v>Care Health Insurance Ltd</v>
      </c>
      <c r="C57" s="8" t="str">
        <f>IF(A57="Previous Year","April-25","April-26")</f>
        <v>April-25</v>
      </c>
      <c r="D57" s="6" t="n">
        <v>0</v>
      </c>
      <c r="E57" s="6" t="n">
        <v>0</v>
      </c>
      <c r="F57" s="6" t="n">
        <v>0</v>
      </c>
      <c r="G57" s="5" t="n">
        <v>710.600000000000023</v>
      </c>
      <c r="H57" s="5" t="n">
        <v>726.190000000000055</v>
      </c>
    </row>
    <row r="58" spans="1:8">
      <c r="A58" s="5" t="s">
        <v>118</v>
      </c>
      <c r="B58" s="8" t="str">
        <f>IF(A58="Previous Year",B57,A58)</f>
        <v>Galaxy Health Insurance Company Ltd</v>
      </c>
      <c r="C58" s="8" t="str">
        <f>IF(A58="Previous Year","April-25","April-26")</f>
        <v>April-26</v>
      </c>
      <c r="D58" s="6" t="n">
        <v>0</v>
      </c>
      <c r="E58" s="6" t="n">
        <v>0</v>
      </c>
      <c r="F58" s="6" t="n">
        <v>0</v>
      </c>
      <c r="G58" s="5" t="n">
        <v>12.2699999999999996</v>
      </c>
      <c r="H58" s="5" t="n">
        <v>13.0900000000000016</v>
      </c>
    </row>
    <row r="59" spans="1:8">
      <c r="A59" s="5" t="s">
        <v>233</v>
      </c>
      <c r="B59" s="8" t="str">
        <f>IF(A59="Previous Year",B58,A59)</f>
        <v>Galaxy Health Insurance Company Ltd</v>
      </c>
      <c r="C59" s="8" t="str">
        <f>IF(A59="Previous Year","April-25","April-26")</f>
        <v>April-25</v>
      </c>
      <c r="D59" s="6" t="n">
        <v>0</v>
      </c>
      <c r="E59" s="6" t="n">
        <v>0</v>
      </c>
      <c r="F59" s="6" t="n">
        <v>0</v>
      </c>
      <c r="G59" s="5" t="n">
        <v>3.06000000000000005</v>
      </c>
      <c r="H59" s="5" t="n">
        <v>3.37999999999999989</v>
      </c>
    </row>
    <row r="60" spans="1:8">
      <c r="A60" s="5" t="s">
        <v>106</v>
      </c>
      <c r="B60" s="8" t="str">
        <f>IF(A60="Previous Year",B59,A60)</f>
        <v>ManipalCigna Health Insurance Co Ltd</v>
      </c>
      <c r="C60" s="8" t="str">
        <f>IF(A60="Previous Year","April-25","April-26")</f>
        <v>April-26</v>
      </c>
      <c r="D60" s="6" t="n">
        <v>0</v>
      </c>
      <c r="E60" s="6" t="n">
        <v>0</v>
      </c>
      <c r="F60" s="6" t="n">
        <v>0</v>
      </c>
      <c r="G60" s="5" t="n">
        <v>274.139999999999986</v>
      </c>
      <c r="H60" s="5" t="n">
        <v>279.980000000000018</v>
      </c>
    </row>
    <row r="61" spans="1:8">
      <c r="A61" s="5" t="s">
        <v>233</v>
      </c>
      <c r="B61" s="8" t="str">
        <f>IF(A61="Previous Year",B60,A61)</f>
        <v>ManipalCigna Health Insurance Co Ltd</v>
      </c>
      <c r="C61" s="8" t="str">
        <f>IF(A61="Previous Year","April-25","April-26")</f>
        <v>April-25</v>
      </c>
      <c r="D61" s="6" t="n">
        <v>0</v>
      </c>
      <c r="E61" s="6" t="n">
        <v>0</v>
      </c>
      <c r="F61" s="6" t="n">
        <v>0</v>
      </c>
      <c r="G61" s="5" t="n">
        <v>180.610000000000014</v>
      </c>
      <c r="H61" s="5" t="n">
        <v>183.780000000000001</v>
      </c>
    </row>
    <row r="62" spans="1:8">
      <c r="A62" s="5" t="s">
        <v>114</v>
      </c>
      <c r="B62" s="8" t="str">
        <f>IF(A62="Previous Year",B61,A62)</f>
        <v>Narayana Health Insurance Ltd</v>
      </c>
      <c r="C62" s="8" t="str">
        <f>IF(A62="Previous Year","April-25","April-26")</f>
        <v>April-26</v>
      </c>
      <c r="D62" s="6" t="n">
        <v>0</v>
      </c>
      <c r="E62" s="6" t="n">
        <v>0</v>
      </c>
      <c r="F62" s="6" t="n">
        <v>0</v>
      </c>
      <c r="G62" s="5" t="n">
        <v>17.9100000000000001</v>
      </c>
      <c r="H62" s="5" t="n">
        <v>17.9100000000000001</v>
      </c>
    </row>
    <row r="63" spans="1:8">
      <c r="A63" s="5" t="s">
        <v>233</v>
      </c>
      <c r="B63" s="8" t="str">
        <f>IF(A63="Previous Year",B62,A63)</f>
        <v>Narayana Health Insurance Ltd</v>
      </c>
      <c r="C63" s="8" t="str">
        <f>IF(A63="Previous Year","April-25","April-26")</f>
        <v>April-25</v>
      </c>
      <c r="D63" s="6" t="n">
        <v>0</v>
      </c>
      <c r="E63" s="6" t="n">
        <v>0</v>
      </c>
      <c r="F63" s="6" t="n">
        <v>0</v>
      </c>
      <c r="G63" s="5" t="n">
        <v>0.4</v>
      </c>
      <c r="H63" s="5" t="n">
        <v>0.4</v>
      </c>
    </row>
    <row r="64" spans="1:8">
      <c r="A64" s="5" t="s">
        <v>85</v>
      </c>
      <c r="B64" s="8" t="str">
        <f>IF(A64="Previous Year",B63,A64)</f>
        <v>Star Health &amp; Allied Insurance Co Ltd</v>
      </c>
      <c r="C64" s="8" t="str">
        <f>IF(A64="Previous Year","April-25","April-26")</f>
        <v>April-26</v>
      </c>
      <c r="D64" s="6" t="n">
        <v>0</v>
      </c>
      <c r="E64" s="6" t="n">
        <v>0</v>
      </c>
      <c r="F64" s="6" t="n">
        <v>0</v>
      </c>
      <c r="G64" s="5" t="n">
        <v>1255.65000000000009</v>
      </c>
      <c r="H64" s="5" t="n">
        <v>1264.53999999999996</v>
      </c>
    </row>
    <row r="65" spans="1:8">
      <c r="A65" s="5" t="s">
        <v>233</v>
      </c>
      <c r="B65" s="8" t="str">
        <f>IF(A65="Previous Year",B64,A65)</f>
        <v>Star Health &amp; Allied Insurance Co Ltd</v>
      </c>
      <c r="C65" s="8" t="str">
        <f>IF(A65="Previous Year","April-25","April-26")</f>
        <v>April-25</v>
      </c>
      <c r="D65" s="6" t="n">
        <v>0</v>
      </c>
      <c r="E65" s="6" t="n">
        <v>0</v>
      </c>
      <c r="F65" s="6" t="n">
        <v>0</v>
      </c>
      <c r="G65" s="5" t="n">
        <v>1050.54999999999995</v>
      </c>
      <c r="H65" s="5" t="n">
        <v>1060.16000000000008</v>
      </c>
    </row>
    <row r="66" spans="1:8">
      <c r="A66" s="5" t="s">
        <v>116</v>
      </c>
      <c r="B66" s="8" t="str">
        <f>IF(A66="Previous Year",#REF!,A66)</f>
        <v>Agriculture Insurance Co Of India Ltd</v>
      </c>
      <c r="C66" s="8" t="str">
        <f>IF(A66="Previous Year","April-25","April-26")</f>
        <v>April-26</v>
      </c>
      <c r="D66" s="6" t="n">
        <v>0</v>
      </c>
      <c r="E66" s="6" t="n">
        <v>0</v>
      </c>
      <c r="F66" s="6" t="n">
        <v>0</v>
      </c>
      <c r="G66" s="6" t="n">
        <v>0</v>
      </c>
      <c r="H66" s="5" t="n">
        <v>16.4800000000000004</v>
      </c>
    </row>
    <row r="67" spans="1:8">
      <c r="A67" s="5" t="s">
        <v>233</v>
      </c>
      <c r="B67" s="8" t="str">
        <f>IF(A67="Previous Year",B66,A67)</f>
        <v>Agriculture Insurance Co Of India Ltd</v>
      </c>
      <c r="C67" s="8" t="str">
        <f>IF(A67="Previous Year","April-25","April-26")</f>
        <v>April-25</v>
      </c>
      <c r="D67" s="6" t="n">
        <v>0</v>
      </c>
      <c r="E67" s="6" t="n">
        <v>0</v>
      </c>
      <c r="F67" s="6" t="n">
        <v>0</v>
      </c>
      <c r="G67" s="6" t="n">
        <v>0</v>
      </c>
      <c r="H67" s="5" t="n">
        <v>5.78000000000000025</v>
      </c>
    </row>
    <row r="68" spans="1:8">
      <c r="A68" s="5" t="s">
        <v>112</v>
      </c>
      <c r="B68" s="8" t="str">
        <f>IF(A68="Previous Year",B67,A68)</f>
        <v>ECGC Ltd</v>
      </c>
      <c r="C68" s="8" t="str">
        <f>IF(A68="Previous Year","April-25","April-26")</f>
        <v>April-26</v>
      </c>
      <c r="D68" s="6" t="n">
        <v>0</v>
      </c>
      <c r="E68" s="6" t="n">
        <v>0</v>
      </c>
      <c r="F68" s="6" t="n">
        <v>0</v>
      </c>
      <c r="G68" s="6" t="n">
        <v>0</v>
      </c>
      <c r="H68" s="5" t="n">
        <v>106.470000000000013</v>
      </c>
    </row>
    <row r="69" spans="1:8">
      <c r="A69" s="5" t="s">
        <v>233</v>
      </c>
      <c r="B69" s="8" t="str">
        <f>IF(A69="Previous Year",B68,A69)</f>
        <v>ECGC Ltd</v>
      </c>
      <c r="C69" s="8" t="str">
        <f>IF(A69="Previous Year","April-25","April-26")</f>
        <v>April-25</v>
      </c>
      <c r="D69" s="6" t="n">
        <v>0</v>
      </c>
      <c r="E69" s="6" t="n">
        <v>0</v>
      </c>
      <c r="F69" s="6" t="n">
        <v>0</v>
      </c>
      <c r="G69" s="6" t="n">
        <v>0</v>
      </c>
      <c r="H69" s="5" t="n">
        <v>87.6599999999999824</v>
      </c>
    </row>
  </sheetData>
  <printOptions>
    <extLst>
      <ext uri="smNativeData">
        <pm:pageFlags xmlns:pm="smNativeData" id="1780841053" printRowHead="0" printColHead="0" printHeadLine="0" printFootLine="0" autoHeightHeader="0" autoHeightFooter="0" fitToPageBoth="0"/>
      </ext>
    </extLst>
  </printOptions>
  <pageMargins left="1.000000" right="1.000000" top="1.000000" bottom="1.000000" header="0.393750" footer="0.393750"/>
  <pageSetup paperSize="1" fitToWidth="0" fitToHeight="1" pageOrder="overThenDown"/>
  <headerFooter>
    <extLst>
      <ext uri="smNativeData">
        <pm:header xmlns:pm="smNativeData" id="1780841053" l="56" r="56" t="56" b="56" borderId="0" fillId="0" vertical="0"/>
        <pm:footer xmlns:pm="smNativeData" id="1780841053" l="56" r="56" t="56" b="56" borderId="0" fillId="0" vertical="2"/>
        <pm:paperBin xmlns:pm="smNativeData" id="1780841053" Id="0" type="0" value="0"/>
        <pm:paperBin xmlns:pm="smNativeData" id="1780841053" Id="1" type="0" value="0"/>
      </ext>
    </extLst>
  </headerFooter>
  <extLst>
    <ext uri="smNativeData">
      <pm:sheetPrefs xmlns:pm="smNativeData" day="1780841053" outlineProtect="1" showHorizontalRuler="1" showVerticalRuler="1" showAltShade="0">
        <pm:shade id="0" type="0" fgLvl="100" fgClr="000000" bgLvl="100" bgClr="FFFFFF"/>
        <pm:shade id="1" type="0" fgLvl="100" fgClr="000000" bgLvl="100" bgClr="FFFFFF"/>
      </pm:sheetPrefs>
    </ext>
  </extLst>
</worksheet>
</file>

<file path=xl/worksheets/sheet10.xml><?xml version="1.0" encoding="utf-8"?>
<worksheet xmlns="http://schemas.openxmlformats.org/spreadsheetml/2006/main" xmlns:r="http://schemas.openxmlformats.org/officeDocument/2006/relationships" xmlns:mc="http://schemas.openxmlformats.org/markup-compatibility/2006">
  <dimension ref="A1:K11"/>
  <sheetViews>
    <sheetView view="normal" zoomScale="78" workbookViewId="0">
      <pane ySplit="5" topLeftCell="A6" activePane="bottomLeft" state="frozen"/>
      <selection pane="bottomLeft" activeCell="D15" sqref="D15"/>
    </sheetView>
  </sheetViews>
  <sheetFormatPr baseColWidth="9" defaultColWidth="10.000000" defaultRowHeight="13.45"/>
  <cols>
    <col min="1" max="1" width="12.666667" customWidth="1"/>
    <col min="2" max="2" width="19.630631" customWidth="1" style="45"/>
    <col min="3" max="3" width="20.477477" customWidth="1" style="45"/>
    <col min="4" max="4" width="34.774775" customWidth="1" style="45"/>
    <col min="5" max="5" width="25.954955" customWidth="1" style="45"/>
    <col min="6" max="6" width="17.891892" customWidth="1" style="45"/>
    <col min="7" max="7" width="19.630631" customWidth="1" style="45"/>
    <col min="8" max="8" width="20.477477" customWidth="1" style="45"/>
    <col min="9" max="9" width="34.774775" customWidth="1" style="45"/>
    <col min="10" max="10" width="25.954955" customWidth="1" style="45"/>
    <col min="11" max="11" width="17.891892" customWidth="1" style="45"/>
  </cols>
  <sheetData>
    <row r="1" spans="1:11" s="42" customFormat="1" ht="20.65" customHeight="1">
      <c r="A1" s="41" t="s">
        <v>234</v>
      </c>
      <c r="B1" s="46"/>
      <c r="C1" s="46"/>
      <c r="D1" s="46"/>
      <c r="E1" s="46"/>
      <c r="F1" s="46"/>
      <c r="G1" s="46"/>
      <c r="H1" s="46"/>
      <c r="I1" s="46"/>
      <c r="J1" s="46"/>
      <c r="K1" s="46"/>
    </row>
    <row r="3" spans="1:11" s="39" customFormat="1" ht="21.45" customHeight="1">
      <c r="A3" s="40" t="s">
        <v>235</v>
      </c>
      <c r="B3" s="47"/>
      <c r="C3" s="47"/>
      <c r="D3" s="47"/>
      <c r="E3" s="47"/>
      <c r="F3" s="48"/>
      <c r="G3" s="48"/>
      <c r="H3" s="48"/>
      <c r="I3" s="48"/>
      <c r="J3" s="48"/>
      <c r="K3" s="48"/>
    </row>
    <row r="5" spans="1:11" s="43" customFormat="1" ht="26.05" customHeight="1">
      <c r="A5" s="44" t="s">
        <v>52</v>
      </c>
      <c r="B5" s="49" t="s">
        <v>236</v>
      </c>
      <c r="C5" s="49" t="s">
        <v>237</v>
      </c>
      <c r="D5" s="49" t="s">
        <v>238</v>
      </c>
      <c r="E5" s="49" t="s">
        <v>239</v>
      </c>
      <c r="F5" s="49" t="s">
        <v>240</v>
      </c>
      <c r="G5" s="49" t="s">
        <v>241</v>
      </c>
      <c r="H5" s="49" t="s">
        <v>242</v>
      </c>
      <c r="I5" s="49" t="s">
        <v>243</v>
      </c>
      <c r="J5" s="49" t="s">
        <v>244</v>
      </c>
      <c r="K5" s="49" t="s">
        <v>245</v>
      </c>
    </row>
    <row r="6" spans="1:11" ht="15.50" customHeight="1">
      <c r="A6" s="125" t="s">
        <v>55</v>
      </c>
      <c r="B6" s="50" t="n">
        <v>83.4599999999999937</v>
      </c>
      <c r="C6" s="50" t="n">
        <v>69.6700000000000017</v>
      </c>
      <c r="D6" s="50" t="s">
        <v>246</v>
      </c>
      <c r="E6" s="50" t="s">
        <v>246</v>
      </c>
      <c r="F6" s="50" t="n">
        <v>78.3299999999999983</v>
      </c>
      <c r="G6" s="50" t="n">
        <v>78.0699999999999932</v>
      </c>
      <c r="H6" s="50" t="n">
        <v>65</v>
      </c>
      <c r="I6" s="50" t="s">
        <v>246</v>
      </c>
      <c r="J6" s="50" t="s">
        <v>246</v>
      </c>
      <c r="K6" s="50" t="n">
        <v>72.9300000000000068</v>
      </c>
    </row>
    <row r="7" spans="1:11" ht="15.50" customHeight="1">
      <c r="A7" s="125" t="s">
        <v>57</v>
      </c>
      <c r="B7" s="50" t="n">
        <v>54.009999999999998</v>
      </c>
      <c r="C7" s="50" t="n">
        <v>83.5</v>
      </c>
      <c r="D7" s="50" t="s">
        <v>246</v>
      </c>
      <c r="E7" s="50" t="s">
        <v>246</v>
      </c>
      <c r="F7" s="50" t="n">
        <v>72.3900000000000006</v>
      </c>
      <c r="G7" s="50" t="n">
        <v>56.7899999999999991</v>
      </c>
      <c r="H7" s="50" t="n">
        <v>84.0300000000000011</v>
      </c>
      <c r="I7" s="50" t="s">
        <v>246</v>
      </c>
      <c r="J7" s="50" t="s">
        <v>246</v>
      </c>
      <c r="K7" s="50" t="n">
        <v>73.6299999999999812</v>
      </c>
    </row>
    <row r="8" spans="1:11" ht="15.50" customHeight="1">
      <c r="A8" s="125" t="s">
        <v>58</v>
      </c>
      <c r="B8" s="50" t="n">
        <v>99.5699999999999932</v>
      </c>
      <c r="C8" s="50" t="n">
        <v>73.2999999999999829</v>
      </c>
      <c r="D8" s="50" t="s">
        <v>246</v>
      </c>
      <c r="E8" s="50" t="s">
        <v>246</v>
      </c>
      <c r="F8" s="50" t="n">
        <v>81.980000000000004</v>
      </c>
      <c r="G8" s="50" t="n">
        <v>107.939999999999998</v>
      </c>
      <c r="H8" s="50" t="n">
        <v>74.6200000000000045</v>
      </c>
      <c r="I8" s="50" t="s">
        <v>246</v>
      </c>
      <c r="J8" s="50" t="s">
        <v>246</v>
      </c>
      <c r="K8" s="50" t="n">
        <v>85.5100000000000051</v>
      </c>
    </row>
    <row r="9" spans="1:11" ht="15.50" customHeight="1">
      <c r="A9" s="125" t="s">
        <v>56</v>
      </c>
      <c r="B9" s="50" t="n">
        <v>103.159999999999997</v>
      </c>
      <c r="C9" s="50" t="n">
        <v>83.4899999999999807</v>
      </c>
      <c r="D9" s="50" t="n">
        <v>63.6300000000000026</v>
      </c>
      <c r="E9" s="50" t="s">
        <v>246</v>
      </c>
      <c r="F9" s="50" t="n">
        <v>86.3499999999999801</v>
      </c>
      <c r="G9" s="50" t="n">
        <v>99.8400000000000034</v>
      </c>
      <c r="H9" s="50" t="n">
        <v>83.4599999999999937</v>
      </c>
      <c r="I9" s="50" t="n">
        <v>68.0600000000000023</v>
      </c>
      <c r="J9" s="50" t="s">
        <v>246</v>
      </c>
      <c r="K9" s="50" t="n">
        <v>85.3400000000000034</v>
      </c>
    </row>
    <row r="10" spans="1:11" ht="15.50" customHeight="1">
      <c r="A10" s="125" t="s">
        <v>247</v>
      </c>
      <c r="B10" s="50" t="n">
        <v>75.2600000000000051</v>
      </c>
      <c r="C10" s="50" t="n">
        <v>74.980000000000004</v>
      </c>
      <c r="D10" s="50" t="s">
        <v>246</v>
      </c>
      <c r="E10" s="50" t="n">
        <v>66.5799999999999983</v>
      </c>
      <c r="F10" s="50" t="n">
        <v>72.7800000000000011</v>
      </c>
      <c r="G10" s="50" t="n">
        <v>67.0300000000000011</v>
      </c>
      <c r="H10" s="50" t="n">
        <v>77.2000000000000028</v>
      </c>
      <c r="I10" s="50" t="s">
        <v>246</v>
      </c>
      <c r="J10" s="50" t="n">
        <v>54.990000000000002</v>
      </c>
      <c r="K10" s="50" t="n">
        <v>68.6200000000000045</v>
      </c>
    </row>
    <row r="11" spans="1:11" ht="15.50" customHeight="1">
      <c r="A11" s="126" t="s">
        <v>248</v>
      </c>
      <c r="B11" s="127" t="n">
        <v>97.230000000000004</v>
      </c>
      <c r="C11" s="127" t="n">
        <v>76.4899999999999807</v>
      </c>
      <c r="D11" s="127" t="n">
        <v>63.6300000000000026</v>
      </c>
      <c r="E11" s="127" t="n">
        <v>66.5799999999999983</v>
      </c>
      <c r="F11" s="127" t="n">
        <v>82.5199999999999818</v>
      </c>
      <c r="G11" s="127" t="n">
        <v>97.2999999999999972</v>
      </c>
      <c r="H11" s="127" t="n">
        <v>77.5</v>
      </c>
      <c r="I11" s="127" t="n">
        <v>68.0600000000000023</v>
      </c>
      <c r="J11" s="127" t="n">
        <v>54.990000000000002</v>
      </c>
      <c r="K11" s="127" t="n">
        <v>82.8799999999999812</v>
      </c>
    </row>
  </sheetData>
  <mergeCells count="2">
    <mergeCell ref="A1:K1"/>
    <mergeCell ref="A3:K3"/>
  </mergeCells>
  <printOptions>
    <extLst>
      <ext uri="smNativeData">
        <pm:pageFlags xmlns:pm="smNativeData" id="1780841053" printRowHead="0" printColHead="0" printHeadLine="0" printFootLine="0" autoHeightHeader="0" autoHeightFooter="0" fitToPageBoth="0"/>
      </ext>
    </extLst>
  </printOptions>
  <pageMargins left="1.000000" right="1.000000" top="1.000000" bottom="1.000000" header="0.393750" footer="0.393750"/>
  <pageSetup paperSize="1" fitToWidth="0" fitToHeight="1" pageOrder="overThenDown"/>
  <headerFooter>
    <extLst>
      <ext uri="smNativeData">
        <pm:header xmlns:pm="smNativeData" id="1780841053" l="56" r="56" t="56" b="56" borderId="0" fillId="0" vertical="0"/>
        <pm:footer xmlns:pm="smNativeData" id="1780841053" l="56" r="56" t="56" b="56" borderId="0" fillId="0" vertical="2"/>
        <pm:paperBin xmlns:pm="smNativeData" id="1780841053" Id="0" type="0" value="0"/>
        <pm:paperBin xmlns:pm="smNativeData" id="1780841053" Id="1" type="0" value="0"/>
      </ext>
    </extLst>
  </headerFooter>
  <extLst>
    <ext uri="smNativeData">
      <pm:sheetPrefs xmlns:pm="smNativeData" day="1780841053" outlineProtect="1" showHorizontalRuler="1" showVerticalRuler="1" showAltShade="0">
        <pm:shade id="0" type="0" fgLvl="100" fgClr="000000" bgLvl="100" bgClr="FFFFFF"/>
        <pm:shade id="1" type="0" fgLvl="100" fgClr="000000" bgLvl="100" bgClr="FFFFFF"/>
      </pm:sheetPrefs>
    </ext>
  </extLst>
</worksheet>
</file>

<file path=xl/worksheets/sheet11.xml><?xml version="1.0" encoding="utf-8"?>
<worksheet xmlns="http://schemas.openxmlformats.org/spreadsheetml/2006/main" xmlns:r="http://schemas.openxmlformats.org/officeDocument/2006/relationships" xmlns:mc="http://schemas.openxmlformats.org/markup-compatibility/2006">
  <dimension ref="A1:I12"/>
  <sheetViews>
    <sheetView view="normal" zoomScale="110" workbookViewId="0">
      <selection activeCell="A6" sqref="A6:A10"/>
    </sheetView>
  </sheetViews>
  <sheetFormatPr baseColWidth="9" defaultColWidth="10.000000" defaultRowHeight="13.45"/>
  <cols>
    <col min="1" max="4" width="16.684685" customWidth="1"/>
    <col min="5" max="5" width="15.684685" customWidth="1"/>
    <col min="6" max="6" width="18.351351" customWidth="1"/>
    <col min="7" max="7" width="23.027027" customWidth="1"/>
  </cols>
  <sheetData>
    <row r="1" spans="1:9">
      <c r="A1" s="85" t="s">
        <v>249</v>
      </c>
      <c r="B1" s="85"/>
      <c r="C1" s="85"/>
      <c r="D1" s="85"/>
      <c r="E1" s="85"/>
      <c r="F1" s="85"/>
      <c r="G1" s="85"/>
      <c r="H1" s="84"/>
      <c r="I1" s="84"/>
    </row>
    <row r="3" spans="1:7">
      <c r="A3" s="95" t="s">
        <v>250</v>
      </c>
      <c r="B3" s="95"/>
      <c r="C3" s="95"/>
      <c r="D3" s="95"/>
      <c r="E3" s="95"/>
      <c r="F3" s="95"/>
      <c r="G3" s="95"/>
    </row>
    <row r="5" spans="1:7">
      <c r="A5" s="86" t="s">
        <v>52</v>
      </c>
      <c r="B5" s="86" t="s">
        <v>251</v>
      </c>
      <c r="C5" s="86" t="s">
        <v>252</v>
      </c>
      <c r="D5" s="86" t="s">
        <v>253</v>
      </c>
      <c r="E5" s="86" t="s">
        <v>254</v>
      </c>
      <c r="F5" s="86" t="s">
        <v>255</v>
      </c>
      <c r="G5" s="86" t="s">
        <v>256</v>
      </c>
    </row>
    <row r="6" spans="1:7">
      <c r="A6" s="122" t="s">
        <v>55</v>
      </c>
      <c r="B6" s="87" t="n">
        <v>316669</v>
      </c>
      <c r="C6" s="87" t="n">
        <v>340650</v>
      </c>
      <c r="D6" s="87" t="n">
        <v>65144</v>
      </c>
      <c r="E6" s="87" t="n">
        <v>69024</v>
      </c>
      <c r="F6" s="58" t="s">
        <v>257</v>
      </c>
      <c r="G6" s="58" t="s">
        <v>258</v>
      </c>
    </row>
    <row r="7" spans="1:7">
      <c r="A7" s="122" t="s">
        <v>205</v>
      </c>
      <c r="B7" s="87" t="n">
        <v>88196</v>
      </c>
      <c r="C7" s="87" t="n">
        <v>90981</v>
      </c>
      <c r="D7" s="87" t="n">
        <v>60739</v>
      </c>
      <c r="E7" s="87" t="n">
        <v>62423</v>
      </c>
      <c r="F7" s="58" t="s">
        <v>257</v>
      </c>
      <c r="G7" s="58" t="s">
        <v>259</v>
      </c>
    </row>
    <row r="8" spans="1:7">
      <c r="A8" s="122" t="s">
        <v>207</v>
      </c>
      <c r="B8" s="87" t="n">
        <v>1073983</v>
      </c>
      <c r="C8" s="87" t="n">
        <v>1155200</v>
      </c>
      <c r="D8" s="87" t="n">
        <v>1004969</v>
      </c>
      <c r="E8" s="87" t="n">
        <v>1102482</v>
      </c>
      <c r="F8" s="58" t="s">
        <v>257</v>
      </c>
      <c r="G8" s="58" t="s">
        <v>260</v>
      </c>
    </row>
    <row r="9" spans="1:7">
      <c r="A9" s="122" t="s">
        <v>209</v>
      </c>
      <c r="B9" s="87" t="n">
        <v>767288</v>
      </c>
      <c r="C9" s="87" t="n">
        <v>907620</v>
      </c>
      <c r="D9" s="87" t="n">
        <v>701523</v>
      </c>
      <c r="E9" s="87" t="n">
        <v>841201</v>
      </c>
      <c r="F9" s="58" t="s">
        <v>257</v>
      </c>
      <c r="G9" s="58" t="s">
        <v>261</v>
      </c>
    </row>
    <row r="10" spans="1:7">
      <c r="A10" s="124" t="s">
        <v>211</v>
      </c>
      <c r="B10" s="94" t="n">
        <v>2683336</v>
      </c>
      <c r="C10" s="94" t="n">
        <v>2871246</v>
      </c>
      <c r="D10" s="94" t="n">
        <v>1980020</v>
      </c>
      <c r="E10" s="94" t="n">
        <v>2226357</v>
      </c>
      <c r="F10" s="93" t="s">
        <v>257</v>
      </c>
      <c r="G10" s="93" t="s">
        <v>262</v>
      </c>
    </row>
    <row r="12" spans="1:7">
      <c r="A12" s="91" t="s">
        <v>263</v>
      </c>
      <c r="B12" s="91"/>
      <c r="C12" s="91"/>
      <c r="D12" s="91"/>
      <c r="E12" s="91"/>
      <c r="F12" s="91"/>
      <c r="G12" s="91"/>
    </row>
  </sheetData>
  <mergeCells count="3">
    <mergeCell ref="A1:G1"/>
    <mergeCell ref="A3:G3"/>
    <mergeCell ref="A12:G12"/>
  </mergeCells>
  <printOptions>
    <extLst>
      <ext uri="smNativeData">
        <pm:pageFlags xmlns:pm="smNativeData" id="1780841053" printRowHead="0" printColHead="0" printHeadLine="0" printFootLine="0" autoHeightHeader="0" autoHeightFooter="0" fitToPageBoth="0"/>
      </ext>
    </extLst>
  </printOptions>
  <pageMargins left="1.000000" right="1.000000" top="1.000000" bottom="1.000000" header="0.393750" footer="0.393750"/>
  <pageSetup paperSize="1" fitToWidth="0" fitToHeight="1" pageOrder="overThenDown"/>
  <headerFooter>
    <extLst>
      <ext uri="smNativeData">
        <pm:header xmlns:pm="smNativeData" id="1780841053" l="56" r="56" t="56" b="56" borderId="0" fillId="0" vertical="0"/>
        <pm:footer xmlns:pm="smNativeData" id="1780841053" l="56" r="56" t="56" b="56" borderId="0" fillId="0" vertical="2"/>
        <pm:paperBin xmlns:pm="smNativeData" id="1780841053" Id="0" type="0" value="0"/>
        <pm:paperBin xmlns:pm="smNativeData" id="1780841053" Id="1" type="0" value="0"/>
      </ext>
    </extLst>
  </headerFooter>
  <extLst>
    <ext uri="smNativeData">
      <pm:sheetPrefs xmlns:pm="smNativeData" day="1780841053" outlineProtect="1" showHorizontalRuler="1" showVerticalRuler="1" showAltShade="0">
        <pm:shade id="0" type="0" fgLvl="100" fgClr="000000" bgLvl="100" bgClr="FFFFFF"/>
        <pm:shade id="1" type="0" fgLvl="100" fgClr="000000" bgLvl="100" bgClr="FFFFFF"/>
      </pm:sheetPrefs>
    </ext>
  </extLst>
</worksheet>
</file>

<file path=xl/worksheets/sheet12.xml><?xml version="1.0" encoding="utf-8"?>
<worksheet xmlns="http://schemas.openxmlformats.org/spreadsheetml/2006/main" xmlns:r="http://schemas.openxmlformats.org/officeDocument/2006/relationships" xmlns:mc="http://schemas.openxmlformats.org/markup-compatibility/2006">
  <dimension ref="A1:E12"/>
  <sheetViews>
    <sheetView view="normal" zoomScale="140" workbookViewId="0">
      <selection activeCell="A6" sqref="A6:A10"/>
    </sheetView>
  </sheetViews>
  <sheetFormatPr baseColWidth="9" defaultColWidth="10.000000" defaultRowHeight="13.45"/>
  <cols>
    <col min="1" max="1" width="15.981982" customWidth="1"/>
    <col min="2" max="2" width="15.189189" customWidth="1"/>
    <col min="3" max="3" width="15.207207" customWidth="1"/>
    <col min="4" max="4" width="20.414414" customWidth="1"/>
    <col min="5" max="5" width="26.900901" customWidth="1"/>
  </cols>
  <sheetData>
    <row r="1" spans="1:5">
      <c r="A1" s="85" t="s">
        <v>264</v>
      </c>
      <c r="B1" s="85"/>
      <c r="C1" s="85"/>
      <c r="D1" s="85"/>
      <c r="E1" s="85"/>
    </row>
    <row r="3" spans="1:5">
      <c r="A3" s="96" t="s">
        <v>265</v>
      </c>
      <c r="B3" s="96"/>
      <c r="C3" s="96"/>
      <c r="D3" s="96"/>
      <c r="E3" s="96"/>
    </row>
    <row r="5" spans="1:5">
      <c r="A5" s="92" t="s">
        <v>52</v>
      </c>
      <c r="B5" s="92" t="s">
        <v>266</v>
      </c>
      <c r="C5" s="92" t="s">
        <v>267</v>
      </c>
      <c r="D5" s="92" t="s">
        <v>255</v>
      </c>
      <c r="E5" s="92" t="s">
        <v>256</v>
      </c>
    </row>
    <row r="6" spans="1:5">
      <c r="A6" s="122" t="s">
        <v>55</v>
      </c>
      <c r="B6" s="87" t="n">
        <v>30460</v>
      </c>
      <c r="C6" s="87" t="n">
        <v>36288</v>
      </c>
      <c r="D6" s="58" t="s">
        <v>268</v>
      </c>
      <c r="E6" s="58" t="s">
        <v>269</v>
      </c>
    </row>
    <row r="7" spans="1:5">
      <c r="A7" s="122" t="s">
        <v>205</v>
      </c>
      <c r="B7" s="87" t="n">
        <v>48444</v>
      </c>
      <c r="C7" s="87" t="n">
        <v>56718</v>
      </c>
      <c r="D7" s="58" t="s">
        <v>268</v>
      </c>
      <c r="E7" s="58" t="s">
        <v>270</v>
      </c>
    </row>
    <row r="8" spans="1:5">
      <c r="A8" s="122" t="s">
        <v>207</v>
      </c>
      <c r="B8" s="87" t="n">
        <v>645336</v>
      </c>
      <c r="C8" s="87" t="n">
        <v>730697</v>
      </c>
      <c r="D8" s="58" t="s">
        <v>268</v>
      </c>
      <c r="E8" s="58" t="s">
        <v>271</v>
      </c>
    </row>
    <row r="9" spans="1:5">
      <c r="A9" s="122" t="s">
        <v>209</v>
      </c>
      <c r="B9" s="87" t="n">
        <v>576922</v>
      </c>
      <c r="C9" s="87" t="n">
        <v>659370</v>
      </c>
      <c r="D9" s="58" t="s">
        <v>268</v>
      </c>
      <c r="E9" s="58" t="s">
        <v>272</v>
      </c>
    </row>
    <row r="10" spans="1:5">
      <c r="A10" s="124" t="s">
        <v>211</v>
      </c>
      <c r="B10" s="94" t="n">
        <v>1398681</v>
      </c>
      <c r="C10" s="94" t="n">
        <v>1582847</v>
      </c>
      <c r="D10" s="93" t="s">
        <v>268</v>
      </c>
      <c r="E10" s="93" t="s">
        <v>273</v>
      </c>
    </row>
    <row r="12" spans="1:5">
      <c r="A12" s="113" t="s">
        <v>274</v>
      </c>
      <c r="B12" s="113"/>
      <c r="C12" s="113"/>
      <c r="D12" s="113"/>
      <c r="E12" s="113"/>
    </row>
  </sheetData>
  <mergeCells count="3">
    <mergeCell ref="A1:E1"/>
    <mergeCell ref="A3:E3"/>
    <mergeCell ref="A12:E12"/>
  </mergeCells>
  <printOptions>
    <extLst>
      <ext uri="smNativeData">
        <pm:pageFlags xmlns:pm="smNativeData" id="1780841053" printRowHead="0" printColHead="0" printHeadLine="0" printFootLine="0" autoHeightHeader="0" autoHeightFooter="0" fitToPageBoth="0"/>
      </ext>
    </extLst>
  </printOptions>
  <pageMargins left="1.000000" right="1.000000" top="1.000000" bottom="1.000000" header="0.393750" footer="0.393750"/>
  <pageSetup paperSize="1" fitToWidth="0" fitToHeight="1" pageOrder="overThenDown"/>
  <headerFooter>
    <extLst>
      <ext uri="smNativeData">
        <pm:header xmlns:pm="smNativeData" id="1780841053" l="56" r="56" t="56" b="56" borderId="0" fillId="0" vertical="0"/>
        <pm:footer xmlns:pm="smNativeData" id="1780841053" l="56" r="56" t="56" b="56" borderId="0" fillId="0" vertical="2"/>
        <pm:paperBin xmlns:pm="smNativeData" id="1780841053" Id="0" type="0" value="0"/>
        <pm:paperBin xmlns:pm="smNativeData" id="1780841053" Id="1" type="0" value="0"/>
      </ext>
    </extLst>
  </headerFooter>
  <extLst>
    <ext uri="smNativeData">
      <pm:sheetPrefs xmlns:pm="smNativeData" day="1780841053" outlineProtect="1" showHorizontalRuler="1" showVerticalRuler="1" showAltShade="0">
        <pm:shade id="0" type="0" fgLvl="100" fgClr="000000" bgLvl="100" bgClr="FFFFFF"/>
        <pm:shade id="1" type="0" fgLvl="100" fgClr="000000" bgLvl="100" bgClr="FFFFFF"/>
      </pm:sheetPrefs>
    </ext>
  </extLst>
</worksheet>
</file>

<file path=xl/worksheets/sheet13.xml><?xml version="1.0" encoding="utf-8"?>
<worksheet xmlns="http://schemas.openxmlformats.org/spreadsheetml/2006/main" xmlns:r="http://schemas.openxmlformats.org/officeDocument/2006/relationships" xmlns:mc="http://schemas.openxmlformats.org/markup-compatibility/2006">
  <dimension ref="A1:G12"/>
  <sheetViews>
    <sheetView view="normal" zoomScale="120" workbookViewId="0">
      <selection activeCell="E20" sqref="E20"/>
    </sheetView>
  </sheetViews>
  <sheetFormatPr baseColWidth="9" defaultColWidth="10.000000" defaultRowHeight="13.45"/>
  <cols>
    <col min="1" max="1" width="11.225225" customWidth="1"/>
    <col min="2" max="2" width="16.630631" customWidth="1"/>
    <col min="3" max="3" width="17.135135" customWidth="1"/>
    <col min="4" max="4" width="15.693694" customWidth="1"/>
    <col min="5" max="5" width="15.765766" customWidth="1"/>
    <col min="6" max="6" width="20.738739" customWidth="1"/>
    <col min="7" max="7" width="22.180180" customWidth="1"/>
  </cols>
  <sheetData>
    <row r="1" spans="1:7">
      <c r="A1" s="98" t="s">
        <v>275</v>
      </c>
      <c r="B1" s="98"/>
      <c r="C1" s="98"/>
      <c r="D1" s="98"/>
      <c r="E1" s="98"/>
      <c r="F1" s="98"/>
      <c r="G1" s="98"/>
    </row>
    <row r="3" spans="1:7">
      <c r="A3" s="99" t="s">
        <v>276</v>
      </c>
      <c r="B3" s="99"/>
      <c r="C3" s="99"/>
      <c r="D3" s="99"/>
      <c r="E3" s="99"/>
      <c r="F3" s="99"/>
      <c r="G3" s="99"/>
    </row>
    <row r="5" spans="1:7">
      <c r="A5" s="97" t="s">
        <v>52</v>
      </c>
      <c r="B5" s="97" t="s">
        <v>277</v>
      </c>
      <c r="C5" s="97" t="s">
        <v>278</v>
      </c>
      <c r="D5" s="97" t="s">
        <v>279</v>
      </c>
      <c r="E5" s="97" t="s">
        <v>280</v>
      </c>
      <c r="F5" s="97" t="s">
        <v>255</v>
      </c>
      <c r="G5" s="97" t="s">
        <v>256</v>
      </c>
    </row>
    <row r="6" spans="1:7">
      <c r="A6" s="122" t="s">
        <v>55</v>
      </c>
      <c r="B6" s="87" t="n">
        <v>34624</v>
      </c>
      <c r="C6" s="87" t="n">
        <v>40334</v>
      </c>
      <c r="D6" s="87" t="n">
        <v>-35377</v>
      </c>
      <c r="E6" s="87" t="n">
        <v>-21496</v>
      </c>
      <c r="F6" s="58" t="s">
        <v>281</v>
      </c>
      <c r="G6" s="58" t="s">
        <v>282</v>
      </c>
    </row>
    <row r="7" spans="1:7">
      <c r="A7" s="122" t="s">
        <v>205</v>
      </c>
      <c r="B7" s="87" t="n">
        <v>11455</v>
      </c>
      <c r="C7" s="87" t="n">
        <v>12389</v>
      </c>
      <c r="D7" s="87" t="n">
        <v>9511</v>
      </c>
      <c r="E7" s="87" t="n">
        <v>9394</v>
      </c>
      <c r="F7" s="58" t="s">
        <v>281</v>
      </c>
      <c r="G7" s="58" t="s">
        <v>283</v>
      </c>
    </row>
    <row r="8" spans="1:7">
      <c r="A8" s="122" t="s">
        <v>207</v>
      </c>
      <c r="B8" s="87" t="n">
        <v>315014</v>
      </c>
      <c r="C8" s="87" t="n">
        <v>362307</v>
      </c>
      <c r="D8" s="87" t="n">
        <v>309970</v>
      </c>
      <c r="E8" s="87" t="n">
        <v>352153</v>
      </c>
      <c r="F8" s="58" t="s">
        <v>281</v>
      </c>
      <c r="G8" s="58" t="s">
        <v>284</v>
      </c>
    </row>
    <row r="9" spans="1:7">
      <c r="A9" s="122" t="s">
        <v>209</v>
      </c>
      <c r="B9" s="87" t="n">
        <v>134312</v>
      </c>
      <c r="C9" s="87" t="n">
        <v>140054</v>
      </c>
      <c r="D9" s="87" t="n">
        <v>94578</v>
      </c>
      <c r="E9" s="87" t="n">
        <v>101495</v>
      </c>
      <c r="F9" s="58" t="s">
        <v>281</v>
      </c>
      <c r="G9" s="58" t="s">
        <v>285</v>
      </c>
    </row>
    <row r="10" spans="1:7">
      <c r="A10" s="124" t="s">
        <v>211</v>
      </c>
      <c r="B10" s="94" t="n">
        <v>541385</v>
      </c>
      <c r="C10" s="94" t="n">
        <v>605306</v>
      </c>
      <c r="D10" s="94" t="n">
        <v>383803</v>
      </c>
      <c r="E10" s="94" t="n">
        <v>448419</v>
      </c>
      <c r="F10" s="93" t="s">
        <v>281</v>
      </c>
      <c r="G10" s="93" t="s">
        <v>286</v>
      </c>
    </row>
    <row r="12" spans="1:7">
      <c r="A12" s="112" t="s">
        <v>287</v>
      </c>
      <c r="B12" s="112"/>
      <c r="C12" s="112"/>
      <c r="D12" s="112"/>
      <c r="E12" s="112"/>
      <c r="F12" s="112"/>
      <c r="G12" s="112"/>
    </row>
  </sheetData>
  <mergeCells count="3">
    <mergeCell ref="A1:G1"/>
    <mergeCell ref="A3:G3"/>
    <mergeCell ref="A12:G12"/>
  </mergeCells>
  <printOptions>
    <extLst>
      <ext uri="smNativeData">
        <pm:pageFlags xmlns:pm="smNativeData" id="1780841053" printRowHead="0" printColHead="0" printHeadLine="0" printFootLine="0" autoHeightHeader="0" autoHeightFooter="0" fitToPageBoth="0"/>
      </ext>
    </extLst>
  </printOptions>
  <pageMargins left="1.000000" right="1.000000" top="1.000000" bottom="1.000000" header="0.393750" footer="0.393750"/>
  <pageSetup paperSize="1" fitToWidth="0" fitToHeight="1" pageOrder="overThenDown"/>
  <headerFooter>
    <extLst>
      <ext uri="smNativeData">
        <pm:header xmlns:pm="smNativeData" id="1780841053" l="56" r="56" t="56" b="56" borderId="0" fillId="0" vertical="0"/>
        <pm:footer xmlns:pm="smNativeData" id="1780841053" l="56" r="56" t="56" b="56" borderId="0" fillId="0" vertical="2"/>
        <pm:paperBin xmlns:pm="smNativeData" id="1780841053" Id="0" type="0" value="0"/>
        <pm:paperBin xmlns:pm="smNativeData" id="1780841053" Id="1" type="0" value="0"/>
      </ext>
    </extLst>
  </headerFooter>
  <extLst>
    <ext uri="smNativeData">
      <pm:sheetPrefs xmlns:pm="smNativeData" day="1780841053" outlineProtect="1" showHorizontalRuler="1" showVerticalRuler="1" showAltShade="0">
        <pm:shade id="0" type="0" fgLvl="100" fgClr="000000" bgLvl="100" bgClr="FFFFFF"/>
        <pm:shade id="1" type="0" fgLvl="100" fgClr="000000" bgLvl="100" bgClr="FFFFFF"/>
      </pm:sheetPrefs>
    </ext>
  </extLst>
</worksheet>
</file>

<file path=xl/worksheets/sheet14.xml><?xml version="1.0" encoding="utf-8"?>
<worksheet xmlns="http://schemas.openxmlformats.org/spreadsheetml/2006/main" xmlns:r="http://schemas.openxmlformats.org/officeDocument/2006/relationships" xmlns:mc="http://schemas.openxmlformats.org/markup-compatibility/2006">
  <dimension ref="A1:F12"/>
  <sheetViews>
    <sheetView view="normal" zoomScale="120" workbookViewId="0">
      <selection activeCell="A6" sqref="A6:A10"/>
    </sheetView>
  </sheetViews>
  <sheetFormatPr baseColWidth="9" defaultColWidth="10.000000" defaultRowHeight="13.45"/>
  <cols>
    <col min="1" max="1" width="11.585586" customWidth="1"/>
    <col min="2" max="2" width="20.522523" customWidth="1"/>
    <col min="3" max="3" width="19.873874" customWidth="1"/>
    <col min="4" max="4" width="26.000000" customWidth="1"/>
    <col min="5" max="5" width="23.405405" customWidth="1"/>
    <col min="6" max="6" width="21.459459" customWidth="1"/>
  </cols>
  <sheetData>
    <row r="1" spans="1:6">
      <c r="A1" s="98" t="s">
        <v>288</v>
      </c>
      <c r="B1" s="98"/>
      <c r="C1" s="98"/>
      <c r="D1" s="98"/>
      <c r="E1" s="98"/>
      <c r="F1" s="98"/>
    </row>
    <row r="3" spans="1:6">
      <c r="A3" s="103" t="s">
        <v>289</v>
      </c>
      <c r="B3" s="103"/>
      <c r="C3" s="103"/>
      <c r="D3" s="103"/>
      <c r="E3" s="103"/>
      <c r="F3" s="103"/>
    </row>
    <row r="5" spans="1:6">
      <c r="A5" s="97" t="s">
        <v>52</v>
      </c>
      <c r="B5" s="97" t="s">
        <v>290</v>
      </c>
      <c r="C5" s="97" t="s">
        <v>291</v>
      </c>
      <c r="D5" s="97" t="s">
        <v>255</v>
      </c>
      <c r="E5" s="97" t="s">
        <v>256</v>
      </c>
      <c r="F5" s="97" t="s">
        <v>292</v>
      </c>
    </row>
    <row r="6" spans="1:6">
      <c r="A6" s="122" t="s">
        <v>55</v>
      </c>
      <c r="B6" s="87" t="n">
        <v>11032</v>
      </c>
      <c r="C6" s="87" t="n">
        <v>11744</v>
      </c>
      <c r="D6" s="100" t="s">
        <v>293</v>
      </c>
      <c r="E6" s="100" t="s">
        <v>294</v>
      </c>
      <c r="F6" s="100" t="s">
        <v>295</v>
      </c>
    </row>
    <row r="7" spans="1:6">
      <c r="A7" s="122" t="s">
        <v>205</v>
      </c>
      <c r="B7" s="87" t="n">
        <v>7947</v>
      </c>
      <c r="C7" s="87" t="n">
        <v>8911</v>
      </c>
      <c r="D7" s="100" t="s">
        <v>293</v>
      </c>
      <c r="E7" s="100" t="s">
        <v>296</v>
      </c>
      <c r="F7" s="100" t="s">
        <v>295</v>
      </c>
    </row>
    <row r="8" spans="1:6">
      <c r="A8" s="122" t="s">
        <v>207</v>
      </c>
      <c r="B8" s="87" t="n">
        <v>125085</v>
      </c>
      <c r="C8" s="87" t="n">
        <v>105427</v>
      </c>
      <c r="D8" s="100" t="s">
        <v>293</v>
      </c>
      <c r="E8" s="100" t="s">
        <v>297</v>
      </c>
      <c r="F8" s="100" t="s">
        <v>295</v>
      </c>
    </row>
    <row r="9" spans="1:6">
      <c r="A9" s="122" t="s">
        <v>209</v>
      </c>
      <c r="B9" s="87" t="n">
        <v>110913</v>
      </c>
      <c r="C9" s="87" t="n">
        <v>145745</v>
      </c>
      <c r="D9" s="100" t="s">
        <v>293</v>
      </c>
      <c r="E9" s="100" t="s">
        <v>298</v>
      </c>
      <c r="F9" s="100" t="s">
        <v>295</v>
      </c>
    </row>
    <row r="10" spans="1:6">
      <c r="A10" s="123" t="s">
        <v>211</v>
      </c>
      <c r="B10" s="101" t="n">
        <v>284484</v>
      </c>
      <c r="C10" s="101" t="n">
        <v>305855</v>
      </c>
      <c r="D10" s="102" t="s">
        <v>293</v>
      </c>
      <c r="E10" s="102" t="s">
        <v>299</v>
      </c>
      <c r="F10" s="102" t="s">
        <v>300</v>
      </c>
    </row>
    <row r="12" spans="1:6">
      <c r="A12" s="112" t="s">
        <v>301</v>
      </c>
      <c r="B12" s="112"/>
      <c r="C12" s="112"/>
      <c r="D12" s="112"/>
      <c r="E12" s="112"/>
      <c r="F12" s="112"/>
    </row>
  </sheetData>
  <mergeCells count="3">
    <mergeCell ref="A1:F1"/>
    <mergeCell ref="A3:F3"/>
    <mergeCell ref="A12:F12"/>
  </mergeCells>
  <printOptions>
    <extLst>
      <ext uri="smNativeData">
        <pm:pageFlags xmlns:pm="smNativeData" id="1780841053" printRowHead="0" printColHead="0" printHeadLine="0" printFootLine="0" autoHeightHeader="0" autoHeightFooter="0" fitToPageBoth="0"/>
      </ext>
    </extLst>
  </printOptions>
  <pageMargins left="1.000000" right="1.000000" top="1.000000" bottom="1.000000" header="0.393750" footer="0.393750"/>
  <pageSetup paperSize="1" fitToWidth="0" fitToHeight="1" pageOrder="overThenDown"/>
  <headerFooter>
    <extLst>
      <ext uri="smNativeData">
        <pm:header xmlns:pm="smNativeData" id="1780841053" l="56" r="56" t="56" b="56" borderId="0" fillId="0" vertical="0"/>
        <pm:footer xmlns:pm="smNativeData" id="1780841053" l="56" r="56" t="56" b="56" borderId="0" fillId="0" vertical="2"/>
        <pm:paperBin xmlns:pm="smNativeData" id="1780841053" Id="0" type="0" value="0"/>
        <pm:paperBin xmlns:pm="smNativeData" id="1780841053" Id="1" type="0" value="0"/>
      </ext>
    </extLst>
  </headerFooter>
  <extLst>
    <ext uri="smNativeData">
      <pm:sheetPrefs xmlns:pm="smNativeData" day="1780841053" outlineProtect="1" showHorizontalRuler="1" showVerticalRuler="1" showAltShade="0">
        <pm:shade id="0" type="0" fgLvl="100" fgClr="000000" bgLvl="100" bgClr="FFFFFF"/>
        <pm:shade id="1" type="0" fgLvl="100" fgClr="000000" bgLvl="100" bgClr="FFFFFF"/>
      </pm:sheetPrefs>
    </ext>
  </extLst>
</worksheet>
</file>

<file path=xl/worksheets/sheet15.xml><?xml version="1.0" encoding="utf-8"?>
<worksheet xmlns="http://schemas.openxmlformats.org/spreadsheetml/2006/main" xmlns:r="http://schemas.openxmlformats.org/officeDocument/2006/relationships" xmlns:mc="http://schemas.openxmlformats.org/markup-compatibility/2006">
  <sheetPr filterMode="1"/>
  <dimension ref="A1:I16"/>
  <sheetViews>
    <sheetView view="normal" zoomScale="90" workbookViewId="0">
      <selection activeCell="C12" sqref="C12"/>
    </sheetView>
  </sheetViews>
  <sheetFormatPr baseColWidth="9" defaultColWidth="10.000000" defaultRowHeight="13.45"/>
  <cols>
    <col min="1" max="1" width="29.981982" customWidth="1"/>
    <col min="2" max="2" width="21.063063" customWidth="1"/>
    <col min="3" max="3" width="30.882883" customWidth="1"/>
    <col min="4" max="4" width="23.585586" customWidth="1"/>
    <col min="5" max="5" width="21.783784" customWidth="1"/>
    <col min="6" max="6" width="23.342342" customWidth="1"/>
    <col min="7" max="7" width="25.657658" customWidth="1"/>
    <col min="8" max="8" width="22.567568" customWidth="1"/>
    <col min="9" max="9" width="31.243243" customWidth="1"/>
  </cols>
  <sheetData>
    <row r="1" spans="1:9" s="2" customFormat="1" ht="30.10" customHeight="1">
      <c r="A1" s="134" t="s">
        <v>302</v>
      </c>
      <c r="B1" s="134" t="s">
        <v>303</v>
      </c>
      <c r="C1" s="134" t="s">
        <v>304</v>
      </c>
      <c r="D1" s="134" t="s">
        <v>256</v>
      </c>
      <c r="E1" s="134" t="s">
        <v>305</v>
      </c>
      <c r="F1" s="134" t="s">
        <v>306</v>
      </c>
      <c r="G1" s="135" t="s">
        <v>307</v>
      </c>
      <c r="H1" s="135" t="s">
        <v>308</v>
      </c>
      <c r="I1" s="135" t="s">
        <v>309</v>
      </c>
    </row>
    <row r="2" spans="1:9">
      <c r="A2" s="132" t="s">
        <v>310</v>
      </c>
      <c r="B2" s="58" t="s">
        <v>311</v>
      </c>
      <c r="C2" s="58" t="s">
        <v>312</v>
      </c>
      <c r="D2" s="58" t="s">
        <v>313</v>
      </c>
      <c r="E2" s="58" t="s">
        <v>314</v>
      </c>
      <c r="F2" s="58" t="s">
        <v>315</v>
      </c>
      <c r="G2" s="58" t="s">
        <v>316</v>
      </c>
      <c r="H2" s="58" t="s">
        <v>317</v>
      </c>
      <c r="I2" s="133" t="s">
        <v>318</v>
      </c>
    </row>
    <row r="3" spans="1:9">
      <c r="A3" s="132" t="s">
        <v>138</v>
      </c>
      <c r="B3" s="58" t="s">
        <v>319</v>
      </c>
      <c r="C3" s="58" t="s">
        <v>320</v>
      </c>
      <c r="D3" s="58" t="s">
        <v>321</v>
      </c>
      <c r="E3" s="58" t="s">
        <v>322</v>
      </c>
      <c r="F3" s="58" t="s">
        <v>315</v>
      </c>
      <c r="G3" s="58" t="s">
        <v>323</v>
      </c>
      <c r="H3" s="58" t="s">
        <v>324</v>
      </c>
      <c r="I3" s="133" t="s">
        <v>325</v>
      </c>
    </row>
    <row r="4" spans="1:9">
      <c r="A4" s="132" t="s">
        <v>257</v>
      </c>
      <c r="B4" s="58" t="s">
        <v>326</v>
      </c>
      <c r="C4" s="58" t="s">
        <v>327</v>
      </c>
      <c r="D4" s="58" t="s">
        <v>328</v>
      </c>
      <c r="E4" s="58" t="s">
        <v>329</v>
      </c>
      <c r="F4" s="58" t="s">
        <v>315</v>
      </c>
      <c r="G4" s="58" t="s">
        <v>330</v>
      </c>
      <c r="H4" s="58" t="s">
        <v>331</v>
      </c>
      <c r="I4" s="133" t="s">
        <v>332</v>
      </c>
    </row>
    <row r="5" spans="1:9">
      <c r="A5" s="132" t="s">
        <v>268</v>
      </c>
      <c r="B5" s="58" t="s">
        <v>326</v>
      </c>
      <c r="C5" s="58" t="s">
        <v>333</v>
      </c>
      <c r="D5" s="58" t="s">
        <v>334</v>
      </c>
      <c r="E5" s="58" t="s">
        <v>335</v>
      </c>
      <c r="F5" s="58" t="s">
        <v>315</v>
      </c>
      <c r="G5" s="58" t="s">
        <v>330</v>
      </c>
      <c r="H5" s="58" t="s">
        <v>336</v>
      </c>
      <c r="I5" s="133" t="s">
        <v>332</v>
      </c>
    </row>
    <row r="6" spans="1:9">
      <c r="A6" s="132" t="s">
        <v>281</v>
      </c>
      <c r="B6" s="58" t="s">
        <v>326</v>
      </c>
      <c r="C6" s="58" t="s">
        <v>337</v>
      </c>
      <c r="D6" s="58" t="s">
        <v>338</v>
      </c>
      <c r="E6" s="58" t="s">
        <v>339</v>
      </c>
      <c r="F6" s="58" t="s">
        <v>315</v>
      </c>
      <c r="G6" s="58" t="s">
        <v>330</v>
      </c>
      <c r="H6" s="58" t="s">
        <v>340</v>
      </c>
      <c r="I6" s="133" t="s">
        <v>341</v>
      </c>
    </row>
    <row r="7" spans="1:9">
      <c r="A7" s="122" t="s">
        <v>293</v>
      </c>
      <c r="B7" s="58" t="s">
        <v>326</v>
      </c>
      <c r="C7" s="58" t="s">
        <v>342</v>
      </c>
      <c r="D7" s="58" t="s">
        <v>343</v>
      </c>
      <c r="E7" s="58" t="s">
        <v>344</v>
      </c>
      <c r="F7" s="58" t="s">
        <v>315</v>
      </c>
      <c r="G7" s="58" t="s">
        <v>330</v>
      </c>
      <c r="H7" s="58" t="s">
        <v>345</v>
      </c>
      <c r="I7" s="133" t="s">
        <v>346</v>
      </c>
    </row>
    <row r="9" spans="1:1">
      <c r="A9" s="3"/>
    </row>
    <row r="10" spans="1:1">
      <c r="A10" s="4"/>
    </row>
    <row r="11" spans="1:1">
      <c r="A11" s="4"/>
    </row>
    <row r="12" spans="1:1">
      <c r="A12" s="3"/>
    </row>
    <row r="13" spans="1:1">
      <c r="A13" s="4"/>
    </row>
    <row r="14" spans="1:1">
      <c r="A14" s="4"/>
    </row>
    <row r="15" spans="1:1">
      <c r="A15" s="3"/>
    </row>
    <row r="16" spans="1:1">
      <c r="A16" s="4"/>
    </row>
  </sheetData>
  <autoFilter ref="A1:I7">
    <filterColumn colId="0"/>
    <filterColumn colId="1"/>
    <filterColumn colId="2"/>
    <filterColumn colId="3"/>
    <filterColumn colId="4"/>
    <filterColumn colId="5"/>
    <filterColumn colId="6"/>
    <filterColumn colId="7"/>
    <filterColumn colId="8"/>
  </autoFilter>
  <mergeCells count="4">
    <mergeCell ref="A10:C10"/>
    <mergeCell ref="A12:B12"/>
    <mergeCell ref="A13:C13"/>
    <mergeCell ref="A16:F16"/>
  </mergeCells>
  <printOptions>
    <extLst>
      <ext uri="smNativeData">
        <pm:pageFlags xmlns:pm="smNativeData" id="1780841053" printRowHead="0" printColHead="0" printHeadLine="0" printFootLine="0" autoHeightHeader="0" autoHeightFooter="0" fitToPageBoth="0"/>
      </ext>
    </extLst>
  </printOptions>
  <pageMargins left="1.000000" right="1.000000" top="1.000000" bottom="1.000000" header="0.500000" footer="0.500000"/>
  <pageSetup paperSize="1" fitToWidth="0" fitToHeight="1" pageOrder="overThenDown"/>
  <headerFooter>
    <extLst>
      <ext uri="smNativeData">
        <pm:header xmlns:pm="smNativeData" id="1780841053" l="56" r="56" t="56" b="56" borderId="0" fillId="0" vertical="0"/>
        <pm:footer xmlns:pm="smNativeData" id="1780841053" l="56" r="56" t="56" b="56" borderId="0" fillId="0" vertical="2"/>
        <pm:paperBin xmlns:pm="smNativeData" id="1780841053" Id="0" type="0" value="0"/>
        <pm:paperBin xmlns:pm="smNativeData" id="1780841053" Id="1" type="0" value="0"/>
      </ext>
    </extLst>
  </headerFooter>
  <extLst>
    <ext uri="smNativeData">
      <pm:sheetPrefs xmlns:pm="smNativeData" day="1780841053"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shiva</cp:lastModifiedBy>
  <cp:revision>0</cp:revision>
  <cp:lastPrinted>2026-06-07T11:14:09Z</cp:lastPrinted>
  <dcterms:created xsi:type="dcterms:W3CDTF">2026-05-30T11:50:45Z</dcterms:created>
  <dcterms:modified xsi:type="dcterms:W3CDTF">2026-06-07T14:04:13Z</dcterms:modified>
</cp:coreProperties>
</file>